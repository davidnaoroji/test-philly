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/>
  <mc:AlternateContent xmlns:mc="http://schemas.openxmlformats.org/markup-compatibility/2006">
    <mc:Choice Requires="x15">
      <x15ac:absPath xmlns:x15ac="http://schemas.microsoft.com/office/spreadsheetml/2010/11/ac" url="C:\Users\dnaoroji\Downloads\"/>
    </mc:Choice>
  </mc:AlternateContent>
  <xr:revisionPtr revIDLastSave="0" documentId="8_{CB382CF1-5007-4057-B871-F64A43C5DE96}" xr6:coauthVersionLast="47" xr6:coauthVersionMax="47" xr10:uidLastSave="{00000000-0000-0000-0000-000000000000}"/>
  <bookViews>
    <workbookView xWindow="-28920" yWindow="-60" windowWidth="29040" windowHeight="15720" activeTab="1" xr2:uid="{FF34C874-E39D-484B-AF2D-E3DA5010685E}"/>
  </bookViews>
  <sheets>
    <sheet name="6 Week" sheetId="1" r:id="rId1"/>
    <sheet name="Trifecta" sheetId="3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__123Graph_X" hidden="1">'[2]BU Summary Data'!$C$5:$O$5</definedName>
    <definedName name="__FDS_HYPERLINK_TOGGLE_STATE__" hidden="1">"ON"</definedName>
    <definedName name="_1__123Graph_ACHART_1" hidden="1">[3]rawandpak!$B$5:$I$5</definedName>
    <definedName name="_10__FDSAUDITLINK__" localSheetId="1" hidden="1">{"fdsup://directions/FAT Viewer?action=UPDATE&amp;creator=factset&amp;DYN_ARGS=TRUE&amp;DOC_NAME=FAT:FQL_AUDITING_CLIENT_TEMPLATE.FAT&amp;display_string=Audit&amp;VAR:KEY=CPWXYHKPUR&amp;VAR:QUERY=RkZfTkVUX0lOQyhDQUwsMjAwOCw0MDQ3Mik=&amp;WINDOW=FIRST_POPUP&amp;HEIGHT=450&amp;WIDTH=450&amp;START_MA","XIMIZED=FALSE&amp;VAR:CALENDAR=US&amp;VAR:SYMBOL=30161N10&amp;VAR:INDEX=1"}</definedName>
    <definedName name="_10__FDSAUDITLINK__" hidden="1">{"fdsup://directions/FAT Viewer?action=UPDATE&amp;creator=factset&amp;DYN_ARGS=TRUE&amp;DOC_NAME=FAT:FQL_AUDITING_CLIENT_TEMPLATE.FAT&amp;display_string=Audit&amp;VAR:KEY=CPWXYHKPUR&amp;VAR:QUERY=RkZfTkVUX0lOQyhDQUwsMjAwOCw0MDQ3Mik=&amp;WINDOW=FIRST_POPUP&amp;HEIGHT=450&amp;WIDTH=450&amp;START_MA","XIMIZED=FALSE&amp;VAR:CALENDAR=US&amp;VAR:SYMBOL=30161N10&amp;VAR:INDEX=1"}</definedName>
    <definedName name="_12__FDSAUDITLINK__" localSheetId="1" hidden="1">{"fdsup://directions/FAT Viewer?action=UPDATE&amp;creator=factset&amp;DYN_ARGS=TRUE&amp;DOC_NAME=FAT:FQL_AUDITING_CLIENT_TEMPLATE.FAT&amp;display_string=Audit&amp;VAR:KEY=OBQZGPOHWD&amp;VAR:QUERY=RkZfTkVUX0lOQyhDQUwsMjAwOCw0MDQ3Mik=&amp;WINDOW=FIRST_POPUP&amp;HEIGHT=450&amp;WIDTH=450&amp;START_MA","XIMIZED=FALSE&amp;VAR:CALENDAR=US&amp;VAR:SYMBOL=21037110&amp;VAR:INDEX=1"}</definedName>
    <definedName name="_12__FDSAUDITLINK__" hidden="1">{"fdsup://directions/FAT Viewer?action=UPDATE&amp;creator=factset&amp;DYN_ARGS=TRUE&amp;DOC_NAME=FAT:FQL_AUDITING_CLIENT_TEMPLATE.FAT&amp;display_string=Audit&amp;VAR:KEY=OBQZGPOHWD&amp;VAR:QUERY=RkZfTkVUX0lOQyhDQUwsMjAwOCw0MDQ3Mik=&amp;WINDOW=FIRST_POPUP&amp;HEIGHT=450&amp;WIDTH=450&amp;START_MA","XIMIZED=FALSE&amp;VAR:CALENDAR=US&amp;VAR:SYMBOL=21037110&amp;VAR:INDEX=1"}</definedName>
    <definedName name="_19__FDSAUDITLINK__" localSheetId="1" hidden="1">{"fdsup://directions/FAT Viewer?action=UPDATE&amp;creator=factset&amp;DYN_ARGS=TRUE&amp;DOC_NAME=FAT:FQL_AUDITING_CLIENT_TEMPLATE.FAT&amp;display_string=Audit&amp;VAR:KEY=AJEVMXUDAX&amp;VAR:QUERY=RkZfRUJJVERBKENBTCwyMDA4LDQwNDcyKQ==&amp;WINDOW=FIRST_POPUP&amp;HEIGHT=450&amp;WIDTH=450&amp;START_MA","XIMIZED=FALSE&amp;VAR:CALENDAR=US&amp;VAR:SYMBOL=30161N10&amp;VAR:INDEX=1"}</definedName>
    <definedName name="_19__FDSAUDITLINK__" hidden="1">{"fdsup://directions/FAT Viewer?action=UPDATE&amp;creator=factset&amp;DYN_ARGS=TRUE&amp;DOC_NAME=FAT:FQL_AUDITING_CLIENT_TEMPLATE.FAT&amp;display_string=Audit&amp;VAR:KEY=AJEVMXUDAX&amp;VAR:QUERY=RkZfRUJJVERBKENBTCwyMDA4LDQwNDcyKQ==&amp;WINDOW=FIRST_POPUP&amp;HEIGHT=450&amp;WIDTH=450&amp;START_MA","XIMIZED=FALSE&amp;VAR:CALENDAR=US&amp;VAR:SYMBOL=30161N10&amp;VAR:INDEX=1"}</definedName>
    <definedName name="_2__123Graph_ACHART_2" hidden="1">'[3]3pool'!$B$7:$E$7</definedName>
    <definedName name="_23__FDSAUDITLINK__" localSheetId="1" hidden="1">{"fdsup://directions/FAT Viewer?action=UPDATE&amp;creator=factset&amp;DYN_ARGS=TRUE&amp;DOC_NAME=FAT:FQL_AUDITING_CLIENT_TEMPLATE.FAT&amp;display_string=Audit&amp;VAR:KEY=SNEBOJSDQR&amp;VAR:QUERY=RkZfU0FMRVMoQ0FMLDIwMDgsNDA0NzIp&amp;WINDOW=FIRST_POPUP&amp;HEIGHT=450&amp;WIDTH=450&amp;START_MAXIMI","ZED=FALSE&amp;VAR:CALENDAR=US&amp;VAR:SYMBOL=30161N10&amp;VAR:INDEX=1"}</definedName>
    <definedName name="_23__FDSAUDITLINK__" hidden="1">{"fdsup://directions/FAT Viewer?action=UPDATE&amp;creator=factset&amp;DYN_ARGS=TRUE&amp;DOC_NAME=FAT:FQL_AUDITING_CLIENT_TEMPLATE.FAT&amp;display_string=Audit&amp;VAR:KEY=SNEBOJSDQR&amp;VAR:QUERY=RkZfU0FMRVMoQ0FMLDIwMDgsNDA0NzIp&amp;WINDOW=FIRST_POPUP&amp;HEIGHT=450&amp;WIDTH=450&amp;START_MAXIMI","ZED=FALSE&amp;VAR:CALENDAR=US&amp;VAR:SYMBOL=30161N10&amp;VAR:INDEX=1"}</definedName>
    <definedName name="_248__FDSAUDITLINK__" localSheetId="1" hidden="1">{"fdsup://directions/FAT Viewer?action=UPDATE&amp;creator=factset&amp;DYN_ARGS=TRUE&amp;DOC_NAME=FAT:FQL_AUDITING_CLIENT_TEMPLATE.FAT&amp;display_string=Audit&amp;VAR:KEY=EHSDCNCRWZ&amp;VAR:QUERY=RkZfRVBTKENBTCwyMDA4LDQwNDcyKQ==&amp;WINDOW=FIRST_POPUP&amp;HEIGHT=450&amp;WIDTH=450&amp;START_MAXIMI","ZED=FALSE&amp;VAR:CALENDAR=US&amp;VAR:SYMBOL=21037110&amp;VAR:INDEX=1"}</definedName>
    <definedName name="_248__FDSAUDITLINK__" hidden="1">{"fdsup://directions/FAT Viewer?action=UPDATE&amp;creator=factset&amp;DYN_ARGS=TRUE&amp;DOC_NAME=FAT:FQL_AUDITING_CLIENT_TEMPLATE.FAT&amp;display_string=Audit&amp;VAR:KEY=EHSDCNCRWZ&amp;VAR:QUERY=RkZfRVBTKENBTCwyMDA4LDQwNDcyKQ==&amp;WINDOW=FIRST_POPUP&amp;HEIGHT=450&amp;WIDTH=450&amp;START_MAXIMI","ZED=FALSE&amp;VAR:CALENDAR=US&amp;VAR:SYMBOL=21037110&amp;VAR:INDEX=1"}</definedName>
    <definedName name="_251__FDSAUDITLINK__" localSheetId="1" hidden="1">{"fdsup://directions/FAT Viewer?action=UPDATE&amp;creator=factset&amp;DYN_ARGS=TRUE&amp;DOC_NAME=FAT:FQL_AUDITING_CLIENT_TEMPLATE.FAT&amp;display_string=Audit&amp;VAR:KEY=EPUFCXGDCN&amp;VAR:QUERY=RkZfRVBTKENBTCwyMDA4LDQwNDcyKQ==&amp;WINDOW=FIRST_POPUP&amp;HEIGHT=450&amp;WIDTH=450&amp;START_MAXIMI","ZED=FALSE&amp;VAR:CALENDAR=US&amp;VAR:SYMBOL=30161N10&amp;VAR:INDEX=1"}</definedName>
    <definedName name="_251__FDSAUDITLINK__" hidden="1">{"fdsup://directions/FAT Viewer?action=UPDATE&amp;creator=factset&amp;DYN_ARGS=TRUE&amp;DOC_NAME=FAT:FQL_AUDITING_CLIENT_TEMPLATE.FAT&amp;display_string=Audit&amp;VAR:KEY=EPUFCXGDCN&amp;VAR:QUERY=RkZfRVBTKENBTCwyMDA4LDQwNDcyKQ==&amp;WINDOW=FIRST_POPUP&amp;HEIGHT=450&amp;WIDTH=450&amp;START_MAXIMI","ZED=FALSE&amp;VAR:CALENDAR=US&amp;VAR:SYMBOL=30161N10&amp;VAR:INDEX=1"}</definedName>
    <definedName name="_3__123Graph_ACHART_3" hidden="1">'[3]3pool'!$F$7:$I$7</definedName>
    <definedName name="_32__FDSAUDITLINK__" localSheetId="1" hidden="1">{"fdsup://directions/FAT Viewer?action=UPDATE&amp;creator=factset&amp;DYN_ARGS=TRUE&amp;DOC_NAME=FAT:FQL_AUDITING_CLIENT_TEMPLATE.FAT&amp;display_string=Audit&amp;VAR:KEY=CRUJARSJGL&amp;VAR:QUERY=RkZfRUJJVChDQUwsMjAwOCw0MDQ3Mik=&amp;WINDOW=FIRST_POPUP&amp;HEIGHT=450&amp;WIDTH=450&amp;START_MAXIMI","ZED=FALSE&amp;VAR:CALENDAR=US&amp;VAR:SYMBOL=30161N10&amp;VAR:INDEX=1"}</definedName>
    <definedName name="_32__FDSAUDITLINK__" hidden="1">{"fdsup://directions/FAT Viewer?action=UPDATE&amp;creator=factset&amp;DYN_ARGS=TRUE&amp;DOC_NAME=FAT:FQL_AUDITING_CLIENT_TEMPLATE.FAT&amp;display_string=Audit&amp;VAR:KEY=CRUJARSJGL&amp;VAR:QUERY=RkZfRUJJVChDQUwsMjAwOCw0MDQ3Mik=&amp;WINDOW=FIRST_POPUP&amp;HEIGHT=450&amp;WIDTH=450&amp;START_MAXIMI","ZED=FALSE&amp;VAR:CALENDAR=US&amp;VAR:SYMBOL=30161N10&amp;VAR:INDEX=1"}</definedName>
    <definedName name="_4__123Graph_XCHART_1" hidden="1">[3]rawandpak!$B$4:$I$4</definedName>
    <definedName name="_4__FDSAUDITLINK__" localSheetId="1" hidden="1">{"fdsup://directions/FAT Viewer?action=UPDATE&amp;creator=factset&amp;DYN_ARGS=TRUE&amp;DOC_NAME=FAT:FQL_AUDITING_CLIENT_TEMPLATE.FAT&amp;display_string=Audit&amp;VAR:KEY=WLOJSZYPIX&amp;VAR:QUERY=RkZfRUJJVChDQUwsMjAwOCw0MDQ3Mik=&amp;WINDOW=FIRST_POPUP&amp;HEIGHT=450&amp;WIDTH=450&amp;START_MAXIMI","ZED=FALSE&amp;VAR:CALENDAR=US&amp;VAR:SYMBOL=21037110&amp;VAR:INDEX=1"}</definedName>
    <definedName name="_4__FDSAUDITLINK__" hidden="1">{"fdsup://directions/FAT Viewer?action=UPDATE&amp;creator=factset&amp;DYN_ARGS=TRUE&amp;DOC_NAME=FAT:FQL_AUDITING_CLIENT_TEMPLATE.FAT&amp;display_string=Audit&amp;VAR:KEY=WLOJSZYPIX&amp;VAR:QUERY=RkZfRUJJVChDQUwsMjAwOCw0MDQ3Mik=&amp;WINDOW=FIRST_POPUP&amp;HEIGHT=450&amp;WIDTH=450&amp;START_MAXIMI","ZED=FALSE&amp;VAR:CALENDAR=US&amp;VAR:SYMBOL=21037110&amp;VAR:INDEX=1"}</definedName>
    <definedName name="_5__123Graph_XCHART_3" hidden="1">'[3]3pool'!$F$6:$I$6</definedName>
    <definedName name="_85__FDSAUDITLINK__" localSheetId="1" hidden="1">{"fdsup://directions/FAT Viewer?action=UPDATE&amp;creator=factset&amp;DYN_ARGS=TRUE&amp;DOC_NAME=FAT:FQL_AUDITING_CLIENT_TEMPLATE.FAT&amp;display_string=Audit&amp;VAR:KEY=QFSNSBSJYB&amp;VAR:QUERY=RkZfRUJJVERBKENBTCwyMDA4LDQwNDcyKQ==&amp;WINDOW=FIRST_POPUP&amp;HEIGHT=450&amp;WIDTH=450&amp;START_MA","XIMIZED=FALSE&amp;VAR:CALENDAR=US&amp;VAR:SYMBOL=21037110&amp;VAR:INDEX=1"}</definedName>
    <definedName name="_85__FDSAUDITLINK__" hidden="1">{"fdsup://directions/FAT Viewer?action=UPDATE&amp;creator=factset&amp;DYN_ARGS=TRUE&amp;DOC_NAME=FAT:FQL_AUDITING_CLIENT_TEMPLATE.FAT&amp;display_string=Audit&amp;VAR:KEY=QFSNSBSJYB&amp;VAR:QUERY=RkZfRUJJVERBKENBTCwyMDA4LDQwNDcyKQ==&amp;WINDOW=FIRST_POPUP&amp;HEIGHT=450&amp;WIDTH=450&amp;START_MA","XIMIZED=FALSE&amp;VAR:CALENDAR=US&amp;VAR:SYMBOL=21037110&amp;VAR:INDEX=1"}</definedName>
    <definedName name="_86__FDSAUDITLINK__" localSheetId="1" hidden="1">{"fdsup://directions/FAT Viewer?action=UPDATE&amp;creator=factset&amp;DYN_ARGS=TRUE&amp;DOC_NAME=FAT:FQL_AUDITING_CLIENT_TEMPLATE.FAT&amp;display_string=Audit&amp;VAR:KEY=EPUVYNYDAT&amp;VAR:QUERY=RkZfU0FMRVMoQ0FMLDIwMDgsNDA0NzIp&amp;WINDOW=FIRST_POPUP&amp;HEIGHT=450&amp;WIDTH=450&amp;START_MAXIMI","ZED=FALSE&amp;VAR:CALENDAR=US&amp;VAR:SYMBOL=21037110&amp;VAR:INDEX=1"}</definedName>
    <definedName name="_86__FDSAUDITLINK__" hidden="1">{"fdsup://directions/FAT Viewer?action=UPDATE&amp;creator=factset&amp;DYN_ARGS=TRUE&amp;DOC_NAME=FAT:FQL_AUDITING_CLIENT_TEMPLATE.FAT&amp;display_string=Audit&amp;VAR:KEY=EPUVYNYDAT&amp;VAR:QUERY=RkZfU0FMRVMoQ0FMLDIwMDgsNDA0NzIp&amp;WINDOW=FIRST_POPUP&amp;HEIGHT=450&amp;WIDTH=450&amp;START_MAXIMI","ZED=FALSE&amp;VAR:CALENDAR=US&amp;VAR:SYMBOL=21037110&amp;VAR:INDEX=1"}</definedName>
    <definedName name="_bdm.23C8995070234551968B591251ADEA60.edm" hidden="1">#REF!</definedName>
    <definedName name="_bdm.5B31B972826A46979E1CEB589ADDAF68.edm" hidden="1">#REF!</definedName>
    <definedName name="_bdm.B3D2EAE872BA4263954FC3BCBB31DBA1.edm" hidden="1" xml:space="preserve">                                                                                                    '[4]MODEL Updated to Post Mito Cyto'!$A:$IV</definedName>
    <definedName name="_bdm.D45920DFA146490CAFCFBE7215502592.edm" hidden="1">#REF!</definedName>
    <definedName name="_bdm.E45444B8DC384C6E9616615CCA5D5FF9.edm" hidden="1">#REF!</definedName>
    <definedName name="_Fill" hidden="1">#REF!</definedName>
    <definedName name="_xlnm._FilterDatabase" hidden="1">#REF!</definedName>
    <definedName name="_Key1" hidden="1">#REF!</definedName>
    <definedName name="_Key2" hidden="1">#REF!</definedName>
    <definedName name="_Order1" hidden="1">255</definedName>
    <definedName name="_Order2" hidden="1">255</definedName>
    <definedName name="_Sort" hidden="1">#REF!</definedName>
    <definedName name="a" localSheetId="1" hidden="1">{#N/A,#N/A,FALSE,"Operating";#N/A,#N/A,FALSE,"Sales"}</definedName>
    <definedName name="a" hidden="1">{#N/A,#N/A,FALSE,"Operating";#N/A,#N/A,FALSE,"Sales"}</definedName>
    <definedName name="AccessDatabase" hidden="1">"C:\Hemu\Income Statement 0197 to 1297 Skyking by month.mdb"</definedName>
    <definedName name="AS2DocOpenMode" hidden="1">"AS2DocumentEdit"</definedName>
    <definedName name="asas" localSheetId="1" hidden="1">{"Page 1",#N/A,FALSE,"FIELDVAR";"Page 2",#N/A,FALSE,"FIELDVAR";"Page 3",#N/A,FALSE,"FIELDVAR";"Page 4",#N/A,FALSE,"FIELDVAR";"Page 5",#N/A,FALSE,"FIELDVAR";"Page 6",#N/A,FALSE,"FIELDVAR";"Page 7",#N/A,FALSE,"FIELDVAR"}</definedName>
    <definedName name="asas" hidden="1">{"Page 1",#N/A,FALSE,"FIELDVAR";"Page 2",#N/A,FALSE,"FIELDVAR";"Page 3",#N/A,FALSE,"FIELDVAR";"Page 4",#N/A,FALSE,"FIELDVAR";"Page 5",#N/A,FALSE,"FIELDVAR";"Page 6",#N/A,FALSE,"FIELDVAR";"Page 7",#N/A,FALSE,"FIELDVAR"}</definedName>
    <definedName name="asd" localSheetId="1" hidden="1">{"CALIF",#N/A,FALSE,"BU Results";"ACCA",#N/A,FALSE,"BU Results";"CONSOL",#N/A,FALSE,"BU Results";"EANW",#N/A,FALSE,"BU Results";"GWTX",#N/A,FALSE,"BU Results";"MIHT",#N/A,FALSE,"BU Results";"SEFL",#N/A,FALSE,"BU Results"}</definedName>
    <definedName name="asd" hidden="1">{"CALIF",#N/A,FALSE,"BU Results";"ACCA",#N/A,FALSE,"BU Results";"CONSOL",#N/A,FALSE,"BU Results";"EANW",#N/A,FALSE,"BU Results";"GWTX",#N/A,FALSE,"BU Results";"MIHT",#N/A,FALSE,"BU Results";"SEFL",#N/A,FALSE,"BU Results"}</definedName>
    <definedName name="asdfdsaf" localSheetId="1" hidden="1">{"CALIF",#N/A,FALSE,"BU Results";"ACCA",#N/A,FALSE,"BU Results";"CONSOL",#N/A,FALSE,"BU Results";"EANW",#N/A,FALSE,"BU Results";"GWTX",#N/A,FALSE,"BU Results";"MIHT",#N/A,FALSE,"BU Results";"SEFL",#N/A,FALSE,"BU Results"}</definedName>
    <definedName name="asdfdsaf" hidden="1">{"CALIF",#N/A,FALSE,"BU Results";"ACCA",#N/A,FALSE,"BU Results";"CONSOL",#N/A,FALSE,"BU Results";"EANW",#N/A,FALSE,"BU Results";"GWTX",#N/A,FALSE,"BU Results";"MIHT",#N/A,FALSE,"BU Results";"SEFL",#N/A,FALSE,"BU Results"}</definedName>
    <definedName name="asdsadas" localSheetId="1" hidden="1">{"Page 1",#N/A,FALSE,"FIELDVAR";"Page 2",#N/A,FALSE,"FIELDVAR";"Page 3",#N/A,FALSE,"FIELDVAR";"Page 4",#N/A,FALSE,"FIELDVAR";"Page 5",#N/A,FALSE,"FIELDVAR";"Page 6",#N/A,FALSE,"FIELDVAR";"Page 7",#N/A,FALSE,"FIELDVAR"}</definedName>
    <definedName name="asdsadas" hidden="1">{"Page 1",#N/A,FALSE,"FIELDVAR";"Page 2",#N/A,FALSE,"FIELDVAR";"Page 3",#N/A,FALSE,"FIELDVAR";"Page 4",#N/A,FALSE,"FIELDVAR";"Page 5",#N/A,FALSE,"FIELDVAR";"Page 6",#N/A,FALSE,"FIELDVAR";"Page 7",#N/A,FALSE,"FIELDVAR"}</definedName>
    <definedName name="asfdsaf" hidden="1">#REF!</definedName>
    <definedName name="curr_month">[5]fcst_test!$B$3</definedName>
    <definedName name="dasfasdf" localSheetId="1" hidden="1">{"Page 1",#N/A,FALSE,"FIELDVAR";"Page 2",#N/A,FALSE,"FIELDVAR";"Page 3",#N/A,FALSE,"FIELDVAR";"Page 4",#N/A,FALSE,"FIELDVAR";"Page 5",#N/A,FALSE,"FIELDVAR";"Page 6",#N/A,FALSE,"FIELDVAR";"Page 7",#N/A,FALSE,"FIELDVAR"}</definedName>
    <definedName name="dasfasdf" hidden="1">{"Page 1",#N/A,FALSE,"FIELDVAR";"Page 2",#N/A,FALSE,"FIELDVAR";"Page 3",#N/A,FALSE,"FIELDVAR";"Page 4",#N/A,FALSE,"FIELDVAR";"Page 5",#N/A,FALSE,"FIELDVAR";"Page 6",#N/A,FALSE,"FIELDVAR";"Page 7",#N/A,FALSE,"FIELDVAR"}</definedName>
    <definedName name="dd" localSheetId="1" hidden="1">{#N/A,#N/A,FALSE,"Operating";#N/A,#N/A,FALSE,"Sales"}</definedName>
    <definedName name="dd" hidden="1">{#N/A,#N/A,FALSE,"Operating";#N/A,#N/A,FALSE,"Sales"}</definedName>
    <definedName name="dddd" localSheetId="1" hidden="1">{#N/A,#N/A,FALSE,"Operating";#N/A,#N/A,FALSE,"Sales"}</definedName>
    <definedName name="dddd" hidden="1">{#N/A,#N/A,FALSE,"Operating";#N/A,#N/A,FALSE,"Sales"}</definedName>
    <definedName name="df" localSheetId="1" hidden="1">{#N/A,#N/A,FALSE,"Operating";#N/A,#N/A,FALSE,"Sales"}</definedName>
    <definedName name="df" hidden="1">{#N/A,#N/A,FALSE,"Operating";#N/A,#N/A,FALSE,"Sales"}</definedName>
    <definedName name="dfas" localSheetId="1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dfas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dfd" localSheetId="1" hidden="1">{#N/A,#N/A,FALSE,"Operating";#N/A,#N/A,FALSE,"Sales"}</definedName>
    <definedName name="dfd" hidden="1">{#N/A,#N/A,FALSE,"Operating";#N/A,#N/A,FALSE,"Sales"}</definedName>
    <definedName name="dfsdfa" localSheetId="1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dfsdfa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Display_Week">[1]Timeline!#REF!</definedName>
    <definedName name="dsd" localSheetId="1" hidden="1">{"Page 1",#N/A,FALSE,"FIELDVAR";"Page 2",#N/A,FALSE,"FIELDVAR";"Page 3",#N/A,FALSE,"FIELDVAR";"Page 4",#N/A,FALSE,"FIELDVAR";"Page 5",#N/A,FALSE,"FIELDVAR";"Page 6",#N/A,FALSE,"FIELDVAR";"Page 7",#N/A,FALSE,"FIELDVAR"}</definedName>
    <definedName name="dsd" hidden="1">{"Page 1",#N/A,FALSE,"FIELDVAR";"Page 2",#N/A,FALSE,"FIELDVAR";"Page 3",#N/A,FALSE,"FIELDVAR";"Page 4",#N/A,FALSE,"FIELDVAR";"Page 5",#N/A,FALSE,"FIELDVAR";"Page 6",#N/A,FALSE,"FIELDVAR";"Page 7",#N/A,FALSE,"FIELDVAR"}</definedName>
    <definedName name="eee" localSheetId="1" hidden="1">{#N/A,#N/A,FALSE,"Operating";#N/A,#N/A,FALSE,"Sales"}</definedName>
    <definedName name="eee" hidden="1">{#N/A,#N/A,FALSE,"Operating";#N/A,#N/A,FALSE,"Sales"}</definedName>
    <definedName name="eeeeeeeeeee" localSheetId="1" hidden="1">{"assumptions",#N/A,FALSE,"Scenario 1";"valuation",#N/A,FALSE,"Scenario 1"}</definedName>
    <definedName name="eeeeeeeeeee" hidden="1">{"assumptions",#N/A,FALSE,"Scenario 1";"valuation",#N/A,FALSE,"Scenario 1"}</definedName>
    <definedName name="eeeeeeeeeeeeee" localSheetId="1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eeeeeeeeeeeeee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eeeeeeeeeeeeeee" localSheetId="1" hidden="1">{#N/A,#N/A,FALSE,"Operating";#N/A,#N/A,FALSE,"Sales"}</definedName>
    <definedName name="eeeeeeeeeeeeeee" hidden="1">{#N/A,#N/A,FALSE,"Operating";#N/A,#N/A,FALSE,"Sales"}</definedName>
    <definedName name="eeeeeeeeeeeeeeee" localSheetId="1" hidden="1">{#N/A,#N/A,FALSE,"Operating";#N/A,#N/A,FALSE,"Sales"}</definedName>
    <definedName name="eeeeeeeeeeeeeeee" hidden="1">{#N/A,#N/A,FALSE,"Operating";#N/A,#N/A,FALSE,"Sales"}</definedName>
    <definedName name="eeeeeeeeeeeeeeeeeeeee" localSheetId="1" hidden="1">{#N/A,#N/A,FALSE,"Operating";#N/A,#N/A,FALSE,"Sales"}</definedName>
    <definedName name="eeeeeeeeeeeeeeeeeeeee" hidden="1">{#N/A,#N/A,FALSE,"Operating";#N/A,#N/A,FALSE,"Sales"}</definedName>
    <definedName name="EV__EVCOM_OPTIONS__" hidden="1">8</definedName>
    <definedName name="EV__EXPOPTIONS__" hidden="1">0</definedName>
    <definedName name="EV__LASTREFTIME__" hidden="1">"(GMT-07:00)2/3/2011 1:06:31 PM"</definedName>
    <definedName name="EV__MAXEXPCOLS__" hidden="1">100</definedName>
    <definedName name="EV__MAXEXPROWS__" hidden="1">1000</definedName>
    <definedName name="EV__MEMORYCVW__" hidden="1">0</definedName>
    <definedName name="EV__WBEVMODE__" hidden="1">0</definedName>
    <definedName name="EV__WBREFOPTIONS__" hidden="1">134217732</definedName>
    <definedName name="EV__WBVERSION__" hidden="1">0</definedName>
    <definedName name="Fcst">[5]fcst_test!$B$4</definedName>
    <definedName name="fd" localSheetId="1" hidden="1">{"CALIF",#N/A,FALSE,"BU Results";"ACCA",#N/A,FALSE,"BU Results";"CONSOL",#N/A,FALSE,"BU Results";"EANW",#N/A,FALSE,"BU Results";"GWTX",#N/A,FALSE,"BU Results";"MIHT",#N/A,FALSE,"BU Results";"SEFL",#N/A,FALSE,"BU Results"}</definedName>
    <definedName name="fd" hidden="1">{"CALIF",#N/A,FALSE,"BU Results";"ACCA",#N/A,FALSE,"BU Results";"CONSOL",#N/A,FALSE,"BU Results";"EANW",#N/A,FALSE,"BU Results";"GWTX",#N/A,FALSE,"BU Results";"MIHT",#N/A,FALSE,"BU Results";"SEFL",#N/A,FALSE,"BU Results"}</definedName>
    <definedName name="ff" localSheetId="1" hidden="1">{"CALIF",#N/A,FALSE,"BU Results";"ACCA",#N/A,FALSE,"BU Results";"CONSOL",#N/A,FALSE,"BU Results";"EANW",#N/A,FALSE,"BU Results";"GWTX",#N/A,FALSE,"BU Results";"MIHT",#N/A,FALSE,"BU Results";"SEFL",#N/A,FALSE,"BU Results"}</definedName>
    <definedName name="ff" hidden="1">{"CALIF",#N/A,FALSE,"BU Results";"ACCA",#N/A,FALSE,"BU Results";"CONSOL",#N/A,FALSE,"BU Results";"EANW",#N/A,FALSE,"BU Results";"GWTX",#N/A,FALSE,"BU Results";"MIHT",#N/A,FALSE,"BU Results";"SEFL",#N/A,FALSE,"BU Results"}</definedName>
    <definedName name="fffffffff" localSheetId="1" hidden="1">{#N/A,#N/A,FALSE,"Operating";#N/A,#N/A,FALSE,"Sales"}</definedName>
    <definedName name="fffffffff" hidden="1">{#N/A,#N/A,FALSE,"Operating";#N/A,#N/A,FALSE,"Sales"}</definedName>
    <definedName name="ffffffffffff" localSheetId="1" hidden="1">{#N/A,#N/A,FALSE,"Operating";#N/A,#N/A,FALSE,"Sales"}</definedName>
    <definedName name="ffffffffffff" hidden="1">{#N/A,#N/A,FALSE,"Operating";#N/A,#N/A,FALSE,"Sales"}</definedName>
    <definedName name="fffffffffffff" localSheetId="1" hidden="1">{#N/A,#N/A,FALSE,"Operating";#N/A,#N/A,FALSE,"Sales"}</definedName>
    <definedName name="fffffffffffff" hidden="1">{#N/A,#N/A,FALSE,"Operating";#N/A,#N/A,FALSE,"Sales"}</definedName>
    <definedName name="ffffffffffffffffffff" localSheetId="1" hidden="1">{"CHARTPRINT",#N/A,FALSE,"Sch5a"}</definedName>
    <definedName name="ffffffffffffffffffff" hidden="1">{"CHARTPRINT",#N/A,FALSE,"Sch5a"}</definedName>
    <definedName name="fh" localSheetId="1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fh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FID" hidden="1">"Crivas"</definedName>
    <definedName name="FPWD" hidden="1">"pepsico"</definedName>
    <definedName name="fsaf" hidden="1">#REF!</definedName>
    <definedName name="gggggggggg" localSheetId="1" hidden="1">{#N/A,#N/A,FALSE,"Operating";#N/A,#N/A,FALSE,"Sales"}</definedName>
    <definedName name="gggggggggg" hidden="1">{#N/A,#N/A,FALSE,"Operating";#N/A,#N/A,FALSE,"Sales"}</definedName>
    <definedName name="gggggggggggggg" localSheetId="1" hidden="1">{#N/A,#N/A,FALSE,"Operating";#N/A,#N/A,FALSE,"Sales"}</definedName>
    <definedName name="gggggggggggggg" hidden="1">{#N/A,#N/A,FALSE,"Operating";#N/A,#N/A,FALSE,"Sales"}</definedName>
    <definedName name="gggggggggggggggggggggg" localSheetId="1" hidden="1">{"assumptions",#N/A,FALSE,"Scenario 1";"valuation",#N/A,FALSE,"Scenario 1"}</definedName>
    <definedName name="gggggggggggggggggggggg" hidden="1">{"assumptions",#N/A,FALSE,"Scenario 1";"valuation",#N/A,FALSE,"Scenario 1"}</definedName>
    <definedName name="hh" localSheetId="1" hidden="1">{"CALIF",#N/A,FALSE,"BU Results";"ACCA",#N/A,FALSE,"BU Results";"CONSOL",#N/A,FALSE,"BU Results";"EANW",#N/A,FALSE,"BU Results";"GWTX",#N/A,FALSE,"BU Results";"MIHT",#N/A,FALSE,"BU Results";"SEFL",#N/A,FALSE,"BU Results"}</definedName>
    <definedName name="hh" hidden="1">{"CALIF",#N/A,FALSE,"BU Results";"ACCA",#N/A,FALSE,"BU Results";"CONSOL",#N/A,FALSE,"BU Results";"EANW",#N/A,FALSE,"BU Results";"GWTX",#N/A,FALSE,"BU Results";"MIHT",#N/A,FALSE,"BU Results";"SEFL",#N/A,FALSE,"BU Results"}</definedName>
    <definedName name="HTML_CodePage" hidden="1">1252</definedName>
    <definedName name="HTML_Control" localSheetId="1" hidden="1">{"'Forecast'!$A$1:$AE$62"}</definedName>
    <definedName name="HTML_Control" hidden="1">{"'Forecast'!$A$1:$AE$62"}</definedName>
    <definedName name="HTML_Description" hidden="1">""</definedName>
    <definedName name="HTML_Email" hidden="1">"mark.lee@pepsi.com"</definedName>
    <definedName name="HTML_Header" hidden="1">"Period 5 Forecast as of Week 1 - 2001"</definedName>
    <definedName name="HTML_LastUpdate" hidden="1">"4/30/01"</definedName>
    <definedName name="HTML_LineAfter" hidden="1">TRUE</definedName>
    <definedName name="HTML_LineBefore" hidden="1">TRUE</definedName>
    <definedName name="HTML_Name" hidden="1">"Mark Lee"</definedName>
    <definedName name="HTML_OBDlg2" hidden="1">TRUE</definedName>
    <definedName name="HTML_OBDlg4" hidden="1">TRUE</definedName>
    <definedName name="HTML_OS" hidden="1">0</definedName>
    <definedName name="HTML_PathFile" hidden="1">"\\Gwtnts1\Finance\GWBU Weekly Forecast.htm"</definedName>
    <definedName name="HTML_Title" hidden="1">"Great West Business Unit"</definedName>
    <definedName name="ignore" localSheetId="1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ignore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IRI_WorkspaceId" hidden="1">"ecfecba04e84453e8a16d2e86a460a1a"</definedName>
    <definedName name="MEWarning" hidden="1">1</definedName>
    <definedName name="Period" hidden="1">[6]List!$L$2:$L$20</definedName>
    <definedName name="Project_Start">[1]Timeline!#REF!</definedName>
    <definedName name="q" localSheetId="1" hidden="1">{#N/A,#N/A,FALSE,"Operating";#N/A,#N/A,FALSE,"Sales"}</definedName>
    <definedName name="q" hidden="1">{#N/A,#N/A,FALSE,"Operating";#N/A,#N/A,FALSE,"Sales"}</definedName>
    <definedName name="qqqqqq" localSheetId="1" hidden="1">{#N/A,#N/A,FALSE,"Operating";#N/A,#N/A,FALSE,"Sales"}</definedName>
    <definedName name="qqqqqq" hidden="1">{#N/A,#N/A,FALSE,"Operating";#N/A,#N/A,FALSE,"Sales"}</definedName>
    <definedName name="RepMo">[7]Entry!$D$13</definedName>
    <definedName name="rrrrrrrrrrrrrrrrrrrrrrrr" localSheetId="1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rrrrrrrrrrrrrrrrrrrrrrrr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rrrrrrrrrrrrrrrrrrrrrrrrrrr" localSheetId="1" hidden="1">{#N/A,#N/A,FALSE,"Operating";#N/A,#N/A,FALSE,"Sales"}</definedName>
    <definedName name="rrrrrrrrrrrrrrrrrrrrrrrrrrr" hidden="1">{#N/A,#N/A,FALSE,"Operating";#N/A,#N/A,FALSE,"Sales"}</definedName>
    <definedName name="s" localSheetId="1" hidden="1">{#N/A,#N/A,FALSE,"Operating";#N/A,#N/A,FALSE,"Sales"}</definedName>
    <definedName name="s" hidden="1">{#N/A,#N/A,FALSE,"Operating";#N/A,#N/A,FALSE,"Sales"}</definedName>
    <definedName name="SAPBEXdnldView" hidden="1">"4EEBDG21ZEVRG4PQGMIKUQ5GM"</definedName>
    <definedName name="SAPBEXhrIndnt" hidden="1">"Wide"</definedName>
    <definedName name="SAPBEXsysID" hidden="1">"BWP"</definedName>
    <definedName name="SAPsysID" hidden="1">"708C5W7SBKP804JT78WJ0JNKI"</definedName>
    <definedName name="SAPwbID" hidden="1">"ARS"</definedName>
    <definedName name="sdfasd" hidden="1">#REF!</definedName>
    <definedName name="sfda" hidden="1">#REF!</definedName>
    <definedName name="SID" hidden="1">"Cpavan"</definedName>
    <definedName name="SPWD" hidden="1">"pepsico"</definedName>
    <definedName name="ssssssssssss" localSheetId="1" hidden="1">{#N/A,#N/A,FALSE,"Operating";#N/A,#N/A,FALSE,"Sales"}</definedName>
    <definedName name="ssssssssssss" hidden="1">{#N/A,#N/A,FALSE,"Operating";#N/A,#N/A,FALSE,"Sales"}</definedName>
    <definedName name="sssssssssssssssss" localSheetId="1" hidden="1">{#N/A,#N/A,FALSE,"Operating";#N/A,#N/A,FALSE,"Sales"}</definedName>
    <definedName name="sssssssssssssssss" hidden="1">{#N/A,#N/A,FALSE,"Operating";#N/A,#N/A,FALSE,"Sales"}</definedName>
    <definedName name="ssssssssssssssssssss" localSheetId="1" hidden="1">{#N/A,#N/A,FALSE,"Operating";#N/A,#N/A,FALSE,"Sales"}</definedName>
    <definedName name="ssssssssssssssssssss" hidden="1">{#N/A,#N/A,FALSE,"Operating";#N/A,#N/A,FALSE,"Sales"}</definedName>
    <definedName name="sssssssssssssssssssssssssss" localSheetId="1" hidden="1">{#N/A,#N/A,FALSE,"Operating";#N/A,#N/A,FALSE,"Sales"}</definedName>
    <definedName name="sssssssssssssssssssssssssss" hidden="1">{#N/A,#N/A,FALSE,"Operating";#N/A,#N/A,FALSE,"Sales"}</definedName>
    <definedName name="Start_Date">[5]fcst_test!$B$2</definedName>
    <definedName name="tes" localSheetId="1" hidden="1">{#N/A,#N/A,FALSE,"Operating";#N/A,#N/A,FALSE,"Sales"}</definedName>
    <definedName name="tes" hidden="1">{#N/A,#N/A,FALSE,"Operating";#N/A,#N/A,FALSE,"Sales"}</definedName>
    <definedName name="test2" localSheetId="1" hidden="1">{#N/A,#N/A,FALSE,"Operating";#N/A,#N/A,FALSE,"Sales"}</definedName>
    <definedName name="test2" hidden="1">{#N/A,#N/A,FALSE,"Operating";#N/A,#N/A,FALSE,"Sales"}</definedName>
    <definedName name="test3" localSheetId="1" hidden="1">{#N/A,#N/A,FALSE,"Operating";#N/A,#N/A,FALSE,"Sales"}</definedName>
    <definedName name="test3" hidden="1">{#N/A,#N/A,FALSE,"Operating";#N/A,#N/A,FALSE,"Sales"}</definedName>
    <definedName name="UserPW" hidden="1">"SMAN3114"</definedName>
    <definedName name="w" hidden="1">'[2]BU Summary Data'!$C$19:$N$19</definedName>
    <definedName name="wrn.Aging._.and._.Trend._.Analysis." localSheetId="1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CHARTPRINT." localSheetId="1" hidden="1">{"CHARTPRINT",#N/A,FALSE,"Sch5a"}</definedName>
    <definedName name="wrn.CHARTPRINT." hidden="1">{"CHARTPRINT",#N/A,FALSE,"Sch5a"}</definedName>
    <definedName name="wrn.Field._.Variance." localSheetId="1" hidden="1">{"Page 1",#N/A,FALSE,"FIELDVAR";"Page 2",#N/A,FALSE,"FIELDVAR";"Page 3",#N/A,FALSE,"FIELDVAR";"Page 4",#N/A,FALSE,"FIELDVAR";"Page 5",#N/A,FALSE,"FIELDVAR";"Page 6",#N/A,FALSE,"FIELDVAR";"Page 7",#N/A,FALSE,"FIELDVAR"}</definedName>
    <definedName name="wrn.Field._.Variance." hidden="1">{"Page 1",#N/A,FALSE,"FIELDVAR";"Page 2",#N/A,FALSE,"FIELDVAR";"Page 3",#N/A,FALSE,"FIELDVAR";"Page 4",#N/A,FALSE,"FIELDVAR";"Page 5",#N/A,FALSE,"FIELDVAR";"Page 6",#N/A,FALSE,"FIELDVAR";"Page 7",#N/A,FALSE,"FIELDVAR"}</definedName>
    <definedName name="wrn.Flash._.Reports." localSheetId="1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wrn.Flash._.Reports." hidden="1">{"Flash",#N/A,FALSE,"FLASH";"Field Bottling",#N/A,FALSE,"NOPBT";"Page 7",#N/A,FALSE,"FIELDVAR";"Page 1",#N/A,FALSE,"FIELDVAR";"Page 2",#N/A,FALSE,"FIELDVAR";"Page 3",#N/A,FALSE,"FIELDVAR";"Page 4",#N/A,FALSE,"FIELDVAR";"Page 5",#N/A,FALSE,"FIELDVAR";"Page 6",#N/A,FALSE,"FIELDVAR"}</definedName>
    <definedName name="wrn.IPO._.Valuation." localSheetId="1" hidden="1">{"assumptions",#N/A,FALSE,"Scenario 1";"valuation",#N/A,FALSE,"Scenario 1"}</definedName>
    <definedName name="wrn.IPO._.Valuation." hidden="1">{"assumptions",#N/A,FALSE,"Scenario 1";"valuation",#N/A,FALSE,"Scenario 1"}</definedName>
    <definedName name="wrn.LBO._.Summary." localSheetId="1" hidden="1">{"LBO Summary",#N/A,FALSE,"Summary"}</definedName>
    <definedName name="wrn.LBO._.Summary." hidden="1">{"LBO Summary",#N/A,FALSE,"Summary"}</definedName>
    <definedName name="wrn.Plan._.Sheets." localSheetId="1" hidden="1">{#N/A,#N/A,TRUE,"95 Consolidated Forecast";#N/A,#N/A,TRUE,"95 Consolidated Frcst per Gal";#N/A,#N/A,TRUE,"96 Consolidated Plan";#N/A,#N/A,TRUE,"96 Consolidated per Gallon"}</definedName>
    <definedName name="wrn.Plan._.Sheets." hidden="1">{#N/A,#N/A,TRUE,"95 Consolidated Forecast";#N/A,#N/A,TRUE,"95 Consolidated Frcst per Gal";#N/A,#N/A,TRUE,"96 Consolidated Plan";#N/A,#N/A,TRUE,"96 Consolidated per Gallon"}</definedName>
    <definedName name="wrn.Print._.All._.Pages." localSheetId="1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Print._.All._.Pages." hidden="1">{"LBO Summary",#N/A,FALSE,"Summary";"Income Statement",#N/A,FALSE,"Model";"Cash Flow",#N/A,FALSE,"Model";"Balance Sheet",#N/A,FALSE,"Model";"Working Capital",#N/A,FALSE,"Model";"Pro Forma Balance Sheets",#N/A,FALSE,"PFBS";"Debt Balances",#N/A,FALSE,"Model";"Fee Schedules",#N/A,FALSE,"Model"}</definedName>
    <definedName name="wrn.testtotal." localSheetId="1" hidden="1">{#N/A,#N/A,FALSE,"Operating";#N/A,#N/A,FALSE,"Sales"}</definedName>
    <definedName name="wrn.testtotal." hidden="1">{#N/A,#N/A,FALSE,"Operating";#N/A,#N/A,FALSE,"Sales"}</definedName>
    <definedName name="wrn.testtotal2" localSheetId="1" hidden="1">{#N/A,#N/A,FALSE,"Operating";#N/A,#N/A,FALSE,"Sales"}</definedName>
    <definedName name="wrn.testtotal2" hidden="1">{#N/A,#N/A,FALSE,"Operating";#N/A,#N/A,FALSE,"Sales"}</definedName>
    <definedName name="wrn.totaltest" localSheetId="1" hidden="1">{#N/A,#N/A,FALSE,"Operating";#N/A,#N/A,FALSE,"Sales"}</definedName>
    <definedName name="wrn.totaltest" hidden="1">{#N/A,#N/A,FALSE,"Operating";#N/A,#N/A,FALSE,"Sales"}</definedName>
    <definedName name="wrn.totaltest2" localSheetId="1" hidden="1">{#N/A,#N/A,FALSE,"Operating";#N/A,#N/A,FALSE,"Sales"}</definedName>
    <definedName name="wrn.totaltest2" hidden="1">{#N/A,#N/A,FALSE,"Operating";#N/A,#N/A,FALSE,"Sales"}</definedName>
    <definedName name="wrn.YTD._.BU._.RESULTS." localSheetId="1" hidden="1">{"CALIF",#N/A,FALSE,"BU Results";"ACCA",#N/A,FALSE,"BU Results";"CONSOL",#N/A,FALSE,"BU Results";"EANW",#N/A,FALSE,"BU Results";"GWTX",#N/A,FALSE,"BU Results";"MIHT",#N/A,FALSE,"BU Results";"SEFL",#N/A,FALSE,"BU Results"}</definedName>
    <definedName name="wrn.YTD._.BU._.RESULTS." hidden="1">{"CALIF",#N/A,FALSE,"BU Results";"ACCA",#N/A,FALSE,"BU Results";"CONSOL",#N/A,FALSE,"BU Results";"EANW",#N/A,FALSE,"BU Results";"GWTX",#N/A,FALSE,"BU Results";"MIHT",#N/A,FALSE,"BU Results";"SEFL",#N/A,FALSE,"BU Results"}</definedName>
    <definedName name="wwwwwwwwwwwwwwww" localSheetId="1" hidden="1">{"LBO Summary",#N/A,FALSE,"Summary"}</definedName>
    <definedName name="wwwwwwwwwwwwwwww" hidden="1">{"LBO Summary",#N/A,FALSE,"Summary"}</definedName>
    <definedName name="wwwwwwwwwwwwwwwwwwwwwwww" localSheetId="1" hidden="1">{"CHARTPRINT",#N/A,FALSE,"Sch5a"}</definedName>
    <definedName name="wwwwwwwwwwwwwwwwwwwwwwww" hidden="1">{"CHARTPRINT",#N/A,FALSE,"Sch5a"}</definedName>
    <definedName name="wwwwwwwwwwwwwwwwwwwwwwwww" localSheetId="1" hidden="1">{#N/A,#N/A,FALSE,"Operating";#N/A,#N/A,FALSE,"Sales"}</definedName>
    <definedName name="wwwwwwwwwwwwwwwwwwwwwwwww" hidden="1">{#N/A,#N/A,FALSE,"Operating";#N/A,#N/A,FALSE,"Sales"}</definedName>
    <definedName name="XREF_COLUMN_1" hidden="1">#REF!</definedName>
    <definedName name="XREF_COLUMN_2" hidden="1">#REF!</definedName>
    <definedName name="XREF_COLUMN_3" hidden="1">#REF!</definedName>
    <definedName name="XRefActiveRow" hidden="1">#REF!</definedName>
    <definedName name="XRefColumnsCount" hidden="1">3</definedName>
    <definedName name="XRefCopy1" hidden="1">#REF!</definedName>
    <definedName name="XRefCopy1Row" hidden="1">#REF!</definedName>
    <definedName name="XRefCopy2" hidden="1">#REF!</definedName>
    <definedName name="XRefCopy2Row" hidden="1">#REF!</definedName>
    <definedName name="XRefCopyRangeCount" hidden="1">2</definedName>
    <definedName name="XRefPaste1" hidden="1">#REF!</definedName>
    <definedName name="XRefPaste1Row" hidden="1">#REF!</definedName>
    <definedName name="XRefPaste2" hidden="1">#REF!</definedName>
    <definedName name="XRefPaste2Row" hidden="1">#REF!</definedName>
    <definedName name="XRefPasteRangeCount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3" l="1"/>
  <c r="C18" i="3"/>
  <c r="D18" i="3"/>
  <c r="E18" i="3"/>
  <c r="F18" i="3"/>
  <c r="H18" i="3"/>
  <c r="J18" i="3"/>
  <c r="K18" i="3"/>
  <c r="L18" i="3"/>
  <c r="M18" i="3"/>
  <c r="N18" i="3"/>
  <c r="P17" i="3" s="1"/>
  <c r="P18" i="3"/>
  <c r="R18" i="3"/>
  <c r="S18" i="3"/>
  <c r="T18" i="3"/>
  <c r="U18" i="3"/>
  <c r="V18" i="3"/>
  <c r="X17" i="3" s="1"/>
  <c r="X18" i="3"/>
  <c r="Z18" i="3"/>
  <c r="AA18" i="3"/>
  <c r="AB18" i="3"/>
  <c r="AC18" i="3"/>
  <c r="AD18" i="3"/>
  <c r="AF17" i="3" s="1"/>
  <c r="AF18" i="3"/>
  <c r="AH18" i="3"/>
  <c r="AI18" i="3"/>
  <c r="AJ18" i="3"/>
  <c r="AK18" i="3"/>
  <c r="AL18" i="3"/>
  <c r="AN17" i="3" s="1"/>
  <c r="AN18" i="3"/>
  <c r="AP18" i="3"/>
  <c r="AQ18" i="3"/>
  <c r="AR18" i="3"/>
  <c r="AS18" i="3"/>
  <c r="AT18" i="3"/>
  <c r="AV18" i="3"/>
  <c r="AF19" i="3"/>
  <c r="H20" i="3"/>
  <c r="P20" i="3"/>
  <c r="X20" i="3"/>
  <c r="AF20" i="3"/>
  <c r="AN20" i="3"/>
  <c r="AV20" i="3"/>
  <c r="P38" i="3"/>
  <c r="B39" i="3"/>
  <c r="C39" i="3"/>
  <c r="D39" i="3"/>
  <c r="E39" i="3"/>
  <c r="F39" i="3"/>
  <c r="H40" i="3" s="1"/>
  <c r="H39" i="3"/>
  <c r="J39" i="3"/>
  <c r="K39" i="3"/>
  <c r="L39" i="3"/>
  <c r="M39" i="3"/>
  <c r="N39" i="3"/>
  <c r="P40" i="3" s="1"/>
  <c r="P39" i="3"/>
  <c r="R39" i="3"/>
  <c r="S39" i="3"/>
  <c r="T39" i="3"/>
  <c r="U39" i="3"/>
  <c r="V39" i="3"/>
  <c r="X38" i="3" s="1"/>
  <c r="X39" i="3"/>
  <c r="Z39" i="3"/>
  <c r="AA39" i="3"/>
  <c r="AB39" i="3"/>
  <c r="AC39" i="3"/>
  <c r="AD39" i="3"/>
  <c r="AF39" i="3"/>
  <c r="AH39" i="3"/>
  <c r="AI39" i="3"/>
  <c r="AJ39" i="3"/>
  <c r="AK39" i="3"/>
  <c r="AL39" i="3"/>
  <c r="AN38" i="3" s="1"/>
  <c r="AN39" i="3"/>
  <c r="AP39" i="3"/>
  <c r="AQ39" i="3"/>
  <c r="AR39" i="3"/>
  <c r="AS39" i="3"/>
  <c r="AT39" i="3"/>
  <c r="AV39" i="3"/>
  <c r="H41" i="3"/>
  <c r="P41" i="3"/>
  <c r="X41" i="3"/>
  <c r="AF41" i="3"/>
  <c r="AN41" i="3"/>
  <c r="AV41" i="3"/>
  <c r="H59" i="3"/>
  <c r="P59" i="3"/>
  <c r="X59" i="3"/>
  <c r="AF59" i="3"/>
  <c r="B60" i="3"/>
  <c r="C60" i="3"/>
  <c r="D60" i="3"/>
  <c r="E60" i="3"/>
  <c r="F60" i="3"/>
  <c r="H60" i="3"/>
  <c r="J60" i="3"/>
  <c r="K60" i="3"/>
  <c r="L60" i="3"/>
  <c r="M60" i="3"/>
  <c r="N60" i="3"/>
  <c r="P61" i="3" s="1"/>
  <c r="P60" i="3"/>
  <c r="R60" i="3"/>
  <c r="S60" i="3"/>
  <c r="T60" i="3"/>
  <c r="U60" i="3"/>
  <c r="V60" i="3"/>
  <c r="X60" i="3"/>
  <c r="Z60" i="3"/>
  <c r="AA60" i="3"/>
  <c r="AB60" i="3"/>
  <c r="AC60" i="3"/>
  <c r="AD60" i="3"/>
  <c r="AF60" i="3"/>
  <c r="AH60" i="3"/>
  <c r="AI60" i="3"/>
  <c r="AJ60" i="3"/>
  <c r="AK60" i="3"/>
  <c r="AL60" i="3"/>
  <c r="AN59" i="3" s="1"/>
  <c r="AN60" i="3"/>
  <c r="AP60" i="3"/>
  <c r="AQ60" i="3"/>
  <c r="AR60" i="3"/>
  <c r="AS60" i="3"/>
  <c r="AT60" i="3"/>
  <c r="AV59" i="3" s="1"/>
  <c r="AV60" i="3"/>
  <c r="H61" i="3"/>
  <c r="X61" i="3"/>
  <c r="AF61" i="3"/>
  <c r="H62" i="3"/>
  <c r="P62" i="3"/>
  <c r="X62" i="3"/>
  <c r="AF62" i="3"/>
  <c r="AN62" i="3"/>
  <c r="AV62" i="3"/>
  <c r="AF80" i="3"/>
  <c r="B81" i="3"/>
  <c r="C81" i="3"/>
  <c r="D81" i="3"/>
  <c r="E81" i="3"/>
  <c r="F81" i="3"/>
  <c r="H82" i="3" s="1"/>
  <c r="H81" i="3"/>
  <c r="J81" i="3"/>
  <c r="K81" i="3"/>
  <c r="L81" i="3"/>
  <c r="M81" i="3"/>
  <c r="N81" i="3"/>
  <c r="P80" i="3" s="1"/>
  <c r="P81" i="3"/>
  <c r="R81" i="3"/>
  <c r="S81" i="3"/>
  <c r="T81" i="3"/>
  <c r="U81" i="3"/>
  <c r="V81" i="3"/>
  <c r="X82" i="3" s="1"/>
  <c r="D150" i="3" s="1"/>
  <c r="X81" i="3"/>
  <c r="D149" i="3" s="1"/>
  <c r="Z81" i="3"/>
  <c r="AA81" i="3"/>
  <c r="AB81" i="3"/>
  <c r="AC81" i="3"/>
  <c r="AD81" i="3"/>
  <c r="AF81" i="3"/>
  <c r="AH81" i="3"/>
  <c r="AI81" i="3"/>
  <c r="AJ81" i="3"/>
  <c r="AK81" i="3"/>
  <c r="AL81" i="3"/>
  <c r="AN82" i="3" s="1"/>
  <c r="AN81" i="3"/>
  <c r="AP81" i="3"/>
  <c r="AQ81" i="3"/>
  <c r="AR81" i="3"/>
  <c r="AS81" i="3"/>
  <c r="AT81" i="3"/>
  <c r="AV82" i="3" s="1"/>
  <c r="AV81" i="3"/>
  <c r="I134" i="3" s="1"/>
  <c r="AF82" i="3"/>
  <c r="H83" i="3"/>
  <c r="P83" i="3"/>
  <c r="X83" i="3"/>
  <c r="AF83" i="3"/>
  <c r="AN83" i="3"/>
  <c r="AV83" i="3"/>
  <c r="H101" i="3"/>
  <c r="X101" i="3"/>
  <c r="AF101" i="3"/>
  <c r="B102" i="3"/>
  <c r="C102" i="3"/>
  <c r="D102" i="3"/>
  <c r="E102" i="3"/>
  <c r="F102" i="3"/>
  <c r="H102" i="3"/>
  <c r="J102" i="3"/>
  <c r="K102" i="3"/>
  <c r="L102" i="3"/>
  <c r="M102" i="3"/>
  <c r="N102" i="3"/>
  <c r="P103" i="3" s="1"/>
  <c r="P102" i="3"/>
  <c r="R102" i="3"/>
  <c r="S102" i="3"/>
  <c r="T102" i="3"/>
  <c r="U102" i="3"/>
  <c r="V102" i="3"/>
  <c r="X102" i="3"/>
  <c r="Z102" i="3"/>
  <c r="AA102" i="3"/>
  <c r="AB102" i="3"/>
  <c r="AC102" i="3"/>
  <c r="AD102" i="3"/>
  <c r="AF102" i="3"/>
  <c r="D154" i="3" s="1"/>
  <c r="E154" i="3" s="1"/>
  <c r="AH102" i="3"/>
  <c r="AI102" i="3"/>
  <c r="AJ102" i="3"/>
  <c r="AK102" i="3"/>
  <c r="AL102" i="3"/>
  <c r="AN103" i="3" s="1"/>
  <c r="AN102" i="3"/>
  <c r="AP102" i="3"/>
  <c r="AQ102" i="3"/>
  <c r="AR102" i="3"/>
  <c r="AS102" i="3"/>
  <c r="AT102" i="3"/>
  <c r="AV101" i="3" s="1"/>
  <c r="AV102" i="3"/>
  <c r="H103" i="3"/>
  <c r="X103" i="3"/>
  <c r="AF103" i="3"/>
  <c r="AV103" i="3"/>
  <c r="H104" i="3"/>
  <c r="P104" i="3"/>
  <c r="X104" i="3"/>
  <c r="AF104" i="3"/>
  <c r="AN104" i="3"/>
  <c r="AV104" i="3"/>
  <c r="AF123" i="3"/>
  <c r="AV123" i="3"/>
  <c r="B124" i="3"/>
  <c r="C124" i="3"/>
  <c r="D124" i="3"/>
  <c r="E124" i="3"/>
  <c r="F124" i="3"/>
  <c r="H125" i="3" s="1"/>
  <c r="H124" i="3"/>
  <c r="L139" i="3" s="1"/>
  <c r="J124" i="3"/>
  <c r="K124" i="3"/>
  <c r="L124" i="3"/>
  <c r="M124" i="3"/>
  <c r="N124" i="3"/>
  <c r="P125" i="3" s="1"/>
  <c r="P124" i="3"/>
  <c r="L144" i="3" s="1"/>
  <c r="R124" i="3"/>
  <c r="S124" i="3"/>
  <c r="T124" i="3"/>
  <c r="U124" i="3"/>
  <c r="V124" i="3"/>
  <c r="X124" i="3"/>
  <c r="L149" i="3" s="1"/>
  <c r="Z124" i="3"/>
  <c r="AA124" i="3"/>
  <c r="AB124" i="3"/>
  <c r="AC124" i="3"/>
  <c r="AD124" i="3"/>
  <c r="AF124" i="3"/>
  <c r="AH124" i="3"/>
  <c r="AI124" i="3"/>
  <c r="AJ124" i="3"/>
  <c r="AK124" i="3"/>
  <c r="AL124" i="3"/>
  <c r="AN124" i="3"/>
  <c r="L159" i="3" s="1"/>
  <c r="AP124" i="3"/>
  <c r="AQ124" i="3"/>
  <c r="AR124" i="3"/>
  <c r="AS124" i="3"/>
  <c r="AT124" i="3"/>
  <c r="AV124" i="3"/>
  <c r="AF125" i="3"/>
  <c r="AV125" i="3"/>
  <c r="H126" i="3"/>
  <c r="P126" i="3"/>
  <c r="X126" i="3"/>
  <c r="AF126" i="3"/>
  <c r="AN126" i="3"/>
  <c r="AV126" i="3"/>
  <c r="AG134" i="3"/>
  <c r="AG140" i="3" s="1"/>
  <c r="AH140" i="3" s="1"/>
  <c r="AH134" i="3"/>
  <c r="AG135" i="3"/>
  <c r="AH135" i="3"/>
  <c r="AG136" i="3"/>
  <c r="AH136" i="3"/>
  <c r="AG137" i="3"/>
  <c r="AH137" i="3"/>
  <c r="AG138" i="3"/>
  <c r="AH138" i="3"/>
  <c r="AG139" i="3"/>
  <c r="AH139" i="3" s="1"/>
  <c r="AA140" i="3"/>
  <c r="AB140" i="3"/>
  <c r="AC140" i="3"/>
  <c r="AD140" i="3"/>
  <c r="AE140" i="3"/>
  <c r="AF140" i="3"/>
  <c r="AA141" i="3"/>
  <c r="AB141" i="3"/>
  <c r="AC141" i="3"/>
  <c r="AD141" i="3"/>
  <c r="AE141" i="3"/>
  <c r="AF141" i="3"/>
  <c r="AA142" i="3"/>
  <c r="AB142" i="3"/>
  <c r="AC142" i="3"/>
  <c r="AD142" i="3"/>
  <c r="AE142" i="3"/>
  <c r="AF142" i="3"/>
  <c r="AC150" i="3"/>
  <c r="AG150" i="3"/>
  <c r="AC151" i="3"/>
  <c r="AG151" i="3"/>
  <c r="AC152" i="3"/>
  <c r="AG152" i="3"/>
  <c r="AC153" i="3"/>
  <c r="AG153" i="3"/>
  <c r="BV36" i="1" a="1"/>
  <c r="BV36" i="1" s="1"/>
  <c r="BV10" i="1" s="1"/>
  <c r="BU36" i="1" a="1"/>
  <c r="BU36" i="1" s="1"/>
  <c r="BU10" i="1" s="1"/>
  <c r="BT36" i="1" a="1"/>
  <c r="BT36" i="1" s="1"/>
  <c r="BT10" i="1" s="1"/>
  <c r="BS36" i="1" a="1"/>
  <c r="BS36" i="1" s="1"/>
  <c r="BS10" i="1" s="1"/>
  <c r="BR36" i="1"/>
  <c r="BR36" i="1" a="1"/>
  <c r="BQ36" i="1" a="1"/>
  <c r="BQ36" i="1" s="1"/>
  <c r="BQ10" i="1" s="1"/>
  <c r="CL10" i="1"/>
  <c r="CK10" i="1"/>
  <c r="CJ10" i="1"/>
  <c r="CI10" i="1"/>
  <c r="CH10" i="1"/>
  <c r="CG10" i="1"/>
  <c r="BR10" i="1"/>
  <c r="BF10" i="1"/>
  <c r="BE10" i="1"/>
  <c r="BD10" i="1"/>
  <c r="BC10" i="1"/>
  <c r="BB10" i="1"/>
  <c r="BA10" i="1"/>
  <c r="AP10" i="1"/>
  <c r="AO10" i="1"/>
  <c r="AN10" i="1"/>
  <c r="AM10" i="1"/>
  <c r="AL10" i="1"/>
  <c r="AK10" i="1"/>
  <c r="Z10" i="1"/>
  <c r="Y10" i="1"/>
  <c r="X10" i="1"/>
  <c r="W10" i="1"/>
  <c r="V10" i="1"/>
  <c r="U10" i="1"/>
  <c r="J10" i="1"/>
  <c r="I10" i="1"/>
  <c r="H10" i="1"/>
  <c r="G10" i="1"/>
  <c r="F10" i="1"/>
  <c r="E10" i="1"/>
  <c r="CL2" i="1" a="1"/>
  <c r="CL2" i="1" s="1"/>
  <c r="CL8" i="1" s="1"/>
  <c r="CK2" i="1" a="1"/>
  <c r="CK2" i="1" s="1"/>
  <c r="CK8" i="1" s="1"/>
  <c r="CJ2" i="1" a="1"/>
  <c r="CJ2" i="1" s="1"/>
  <c r="CJ8" i="1" s="1"/>
  <c r="CI2" i="1" a="1"/>
  <c r="CI2" i="1" s="1"/>
  <c r="CI8" i="1" s="1"/>
  <c r="CH2" i="1" a="1"/>
  <c r="CH2" i="1" s="1"/>
  <c r="CH8" i="1" s="1"/>
  <c r="CG2" i="1" a="1"/>
  <c r="CG2" i="1" s="1"/>
  <c r="CG8" i="1" s="1"/>
  <c r="CE2" i="1" a="1"/>
  <c r="CE2" i="1" s="1"/>
  <c r="BV2" i="1" a="1"/>
  <c r="BV2" i="1" s="1"/>
  <c r="BV8" i="1" s="1"/>
  <c r="BU2" i="1" a="1"/>
  <c r="BU2" i="1" s="1"/>
  <c r="BU8" i="1" s="1"/>
  <c r="BT2" i="1" a="1"/>
  <c r="BT2" i="1" s="1"/>
  <c r="BT8" i="1" s="1"/>
  <c r="BS2" i="1" a="1"/>
  <c r="BS2" i="1" s="1"/>
  <c r="BS8" i="1" s="1"/>
  <c r="BR2" i="1" a="1"/>
  <c r="BR2" i="1" s="1"/>
  <c r="BR8" i="1" s="1"/>
  <c r="BQ2" i="1" a="1"/>
  <c r="BQ2" i="1" s="1"/>
  <c r="BQ8" i="1" s="1"/>
  <c r="BO2" i="1" a="1"/>
  <c r="BO2" i="1" s="1"/>
  <c r="BF2" i="1" a="1"/>
  <c r="BF2" i="1" s="1"/>
  <c r="BF8" i="1" s="1"/>
  <c r="BE2" i="1" a="1"/>
  <c r="BE2" i="1" s="1"/>
  <c r="BE8" i="1" s="1"/>
  <c r="BD2" i="1" a="1"/>
  <c r="BD2" i="1" s="1"/>
  <c r="BD8" i="1" s="1"/>
  <c r="BC2" i="1" a="1"/>
  <c r="BC2" i="1" s="1"/>
  <c r="BC8" i="1" s="1"/>
  <c r="BB2" i="1" a="1"/>
  <c r="BB2" i="1" s="1"/>
  <c r="BB8" i="1" s="1"/>
  <c r="BA2" i="1" a="1"/>
  <c r="BA2" i="1" s="1"/>
  <c r="BA8" i="1" s="1"/>
  <c r="AY2" i="1" a="1"/>
  <c r="AY2" i="1" s="1"/>
  <c r="AP2" i="1" a="1"/>
  <c r="AP2" i="1" s="1"/>
  <c r="AP8" i="1" s="1"/>
  <c r="AO2" i="1" a="1"/>
  <c r="AO2" i="1" s="1"/>
  <c r="AO8" i="1" s="1"/>
  <c r="AN2" i="1" a="1"/>
  <c r="AN2" i="1" s="1"/>
  <c r="AN8" i="1" s="1"/>
  <c r="AM2" i="1" a="1"/>
  <c r="AM2" i="1" s="1"/>
  <c r="AM8" i="1" s="1"/>
  <c r="AL2" i="1" a="1"/>
  <c r="AL2" i="1" s="1"/>
  <c r="AL8" i="1" s="1"/>
  <c r="AK2" i="1" a="1"/>
  <c r="AK2" i="1" s="1"/>
  <c r="AK8" i="1" s="1"/>
  <c r="AI2" i="1" a="1"/>
  <c r="AI2" i="1" s="1"/>
  <c r="Z2" i="1" a="1"/>
  <c r="Z2" i="1" s="1"/>
  <c r="Z8" i="1" s="1"/>
  <c r="Y2" i="1" a="1"/>
  <c r="Y2" i="1" s="1"/>
  <c r="Y8" i="1" s="1"/>
  <c r="X2" i="1" a="1"/>
  <c r="X2" i="1" s="1"/>
  <c r="X8" i="1" s="1"/>
  <c r="W2" i="1" a="1"/>
  <c r="W2" i="1" s="1"/>
  <c r="W8" i="1" s="1"/>
  <c r="V2" i="1" a="1"/>
  <c r="V2" i="1" s="1"/>
  <c r="V8" i="1" s="1"/>
  <c r="U2" i="1" a="1"/>
  <c r="U2" i="1" s="1"/>
  <c r="U8" i="1" s="1"/>
  <c r="S2" i="1" a="1"/>
  <c r="S2" i="1" s="1"/>
  <c r="J2" i="1" a="1"/>
  <c r="J2" i="1" s="1"/>
  <c r="J8" i="1" s="1"/>
  <c r="I2" i="1" a="1"/>
  <c r="I2" i="1" s="1"/>
  <c r="I8" i="1" s="1"/>
  <c r="H2" i="1" a="1"/>
  <c r="H2" i="1" s="1"/>
  <c r="H8" i="1" s="1"/>
  <c r="G2" i="1" a="1"/>
  <c r="G2" i="1" s="1"/>
  <c r="G8" i="1" s="1"/>
  <c r="F2" i="1" a="1"/>
  <c r="F2" i="1" s="1"/>
  <c r="F8" i="1" s="1"/>
  <c r="E2" i="1" a="1"/>
  <c r="E2" i="1" s="1"/>
  <c r="E8" i="1" s="1"/>
  <c r="C2" i="1" a="1"/>
  <c r="C2" i="1" s="1"/>
  <c r="N139" i="3" l="1"/>
  <c r="O139" i="3" s="1"/>
  <c r="M139" i="3"/>
  <c r="M149" i="3"/>
  <c r="N149" i="3"/>
  <c r="O149" i="3" s="1"/>
  <c r="E149" i="3"/>
  <c r="F149" i="3"/>
  <c r="G149" i="3" s="1"/>
  <c r="D164" i="3"/>
  <c r="E164" i="3" s="1"/>
  <c r="D153" i="3"/>
  <c r="C134" i="3"/>
  <c r="K134" i="3"/>
  <c r="K135" i="3"/>
  <c r="P19" i="3"/>
  <c r="L145" i="3" s="1"/>
  <c r="AV80" i="3"/>
  <c r="D163" i="3" s="1"/>
  <c r="G134" i="3"/>
  <c r="D158" i="3"/>
  <c r="E158" i="3" s="1"/>
  <c r="D159" i="3"/>
  <c r="H123" i="3"/>
  <c r="AN80" i="3"/>
  <c r="H38" i="3"/>
  <c r="D139" i="3"/>
  <c r="X80" i="3"/>
  <c r="D148" i="3" s="1"/>
  <c r="H80" i="3"/>
  <c r="D138" i="3" s="1"/>
  <c r="E134" i="3"/>
  <c r="E153" i="3"/>
  <c r="F153" i="3"/>
  <c r="G153" i="3" s="1"/>
  <c r="M159" i="3"/>
  <c r="N159" i="3"/>
  <c r="O159" i="3" s="1"/>
  <c r="X123" i="3"/>
  <c r="L148" i="3" s="1"/>
  <c r="X125" i="3"/>
  <c r="AF38" i="3"/>
  <c r="AF40" i="3"/>
  <c r="L155" i="3" s="1"/>
  <c r="AN123" i="3"/>
  <c r="L158" i="3" s="1"/>
  <c r="AN125" i="3"/>
  <c r="L160" i="3" s="1"/>
  <c r="L154" i="3"/>
  <c r="E150" i="3"/>
  <c r="F150" i="3"/>
  <c r="G150" i="3" s="1"/>
  <c r="M144" i="3"/>
  <c r="N144" i="3"/>
  <c r="O144" i="3" s="1"/>
  <c r="AV38" i="3"/>
  <c r="AV40" i="3"/>
  <c r="L165" i="3" s="1"/>
  <c r="F154" i="3"/>
  <c r="G154" i="3" s="1"/>
  <c r="M134" i="3"/>
  <c r="D155" i="3"/>
  <c r="L164" i="3"/>
  <c r="D160" i="3"/>
  <c r="D144" i="3"/>
  <c r="G133" i="3"/>
  <c r="AV19" i="3"/>
  <c r="AV17" i="3"/>
  <c r="E159" i="3"/>
  <c r="F159" i="3"/>
  <c r="G159" i="3" s="1"/>
  <c r="D140" i="3"/>
  <c r="H17" i="3"/>
  <c r="H19" i="3"/>
  <c r="F158" i="3"/>
  <c r="G158" i="3" s="1"/>
  <c r="AN101" i="3"/>
  <c r="P82" i="3"/>
  <c r="I135" i="3" s="1"/>
  <c r="F139" i="3"/>
  <c r="G139" i="3" s="1"/>
  <c r="E139" i="3"/>
  <c r="P101" i="3"/>
  <c r="K133" i="3" s="1"/>
  <c r="P123" i="3"/>
  <c r="AN19" i="3"/>
  <c r="AN40" i="3"/>
  <c r="X19" i="3"/>
  <c r="AV61" i="3"/>
  <c r="D165" i="3" s="1"/>
  <c r="AN61" i="3"/>
  <c r="G135" i="3" s="1"/>
  <c r="T135" i="3" s="1"/>
  <c r="X40" i="3"/>
  <c r="E148" i="3" l="1"/>
  <c r="F148" i="3"/>
  <c r="G148" i="3" s="1"/>
  <c r="L163" i="3"/>
  <c r="F164" i="3"/>
  <c r="G164" i="3" s="1"/>
  <c r="D143" i="3"/>
  <c r="E143" i="3" s="1"/>
  <c r="E133" i="3"/>
  <c r="I133" i="3"/>
  <c r="T133" i="3" s="1"/>
  <c r="T137" i="3"/>
  <c r="T134" i="3"/>
  <c r="M163" i="3"/>
  <c r="N163" i="3"/>
  <c r="O163" i="3" s="1"/>
  <c r="M165" i="3"/>
  <c r="N165" i="3"/>
  <c r="O165" i="3" s="1"/>
  <c r="M164" i="3"/>
  <c r="N164" i="3"/>
  <c r="O164" i="3" s="1"/>
  <c r="N160" i="3"/>
  <c r="O160" i="3" s="1"/>
  <c r="M160" i="3"/>
  <c r="F143" i="3"/>
  <c r="G143" i="3" s="1"/>
  <c r="M158" i="3"/>
  <c r="N158" i="3"/>
  <c r="O158" i="3" s="1"/>
  <c r="C135" i="3"/>
  <c r="L140" i="3"/>
  <c r="F155" i="3"/>
  <c r="G155" i="3" s="1"/>
  <c r="E155" i="3"/>
  <c r="L169" i="3"/>
  <c r="L143" i="3"/>
  <c r="M133" i="3"/>
  <c r="C133" i="3"/>
  <c r="L138" i="3"/>
  <c r="M145" i="3"/>
  <c r="N145" i="3"/>
  <c r="O145" i="3" s="1"/>
  <c r="M155" i="3"/>
  <c r="N155" i="3"/>
  <c r="O155" i="3" s="1"/>
  <c r="E140" i="3"/>
  <c r="F140" i="3"/>
  <c r="G140" i="3" s="1"/>
  <c r="D170" i="3"/>
  <c r="E135" i="3"/>
  <c r="L153" i="3"/>
  <c r="L150" i="3"/>
  <c r="M135" i="3"/>
  <c r="M148" i="3"/>
  <c r="N148" i="3"/>
  <c r="O148" i="3" s="1"/>
  <c r="D145" i="3"/>
  <c r="E138" i="3"/>
  <c r="F138" i="3"/>
  <c r="G138" i="3" s="1"/>
  <c r="N134" i="3"/>
  <c r="D169" i="3"/>
  <c r="E144" i="3"/>
  <c r="F144" i="3"/>
  <c r="G144" i="3" s="1"/>
  <c r="F165" i="3"/>
  <c r="G165" i="3" s="1"/>
  <c r="E165" i="3"/>
  <c r="E163" i="3"/>
  <c r="F163" i="3"/>
  <c r="G163" i="3" s="1"/>
  <c r="E160" i="3"/>
  <c r="F160" i="3"/>
  <c r="G160" i="3" s="1"/>
  <c r="M154" i="3"/>
  <c r="N154" i="3"/>
  <c r="O154" i="3" s="1"/>
  <c r="D168" i="3" l="1"/>
  <c r="N133" i="3"/>
  <c r="M153" i="3"/>
  <c r="N153" i="3"/>
  <c r="O153" i="3" s="1"/>
  <c r="F170" i="3"/>
  <c r="G170" i="3" s="1"/>
  <c r="E170" i="3"/>
  <c r="N140" i="3"/>
  <c r="O140" i="3" s="1"/>
  <c r="M140" i="3"/>
  <c r="L170" i="3"/>
  <c r="E169" i="3"/>
  <c r="F169" i="3"/>
  <c r="G169" i="3" s="1"/>
  <c r="N135" i="3"/>
  <c r="E168" i="3"/>
  <c r="F168" i="3"/>
  <c r="G168" i="3" s="1"/>
  <c r="E145" i="3"/>
  <c r="F145" i="3"/>
  <c r="G145" i="3" s="1"/>
  <c r="N138" i="3"/>
  <c r="O138" i="3" s="1"/>
  <c r="L168" i="3"/>
  <c r="M138" i="3"/>
  <c r="T136" i="3"/>
  <c r="T138" i="3"/>
  <c r="M143" i="3"/>
  <c r="N143" i="3"/>
  <c r="O143" i="3" s="1"/>
  <c r="N150" i="3"/>
  <c r="O150" i="3" s="1"/>
  <c r="M150" i="3"/>
  <c r="M169" i="3"/>
  <c r="N169" i="3"/>
  <c r="O169" i="3" s="1"/>
  <c r="M168" i="3" l="1"/>
  <c r="N168" i="3"/>
  <c r="O168" i="3" s="1"/>
  <c r="M170" i="3"/>
  <c r="N170" i="3"/>
  <c r="O17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<sst xmlns="http://schemas.openxmlformats.org/spreadsheetml/2006/main" count="667" uniqueCount="59">
  <si>
    <t>Enter 6 Week SKU's</t>
  </si>
  <si>
    <t>L1234,L1258,L1282,L1306,L1330,L1354</t>
  </si>
  <si>
    <t>Monday</t>
  </si>
  <si>
    <t>HVD Gal</t>
  </si>
  <si>
    <t>2% Gal</t>
  </si>
  <si>
    <t>1% Gal</t>
  </si>
  <si>
    <t>FF Gal</t>
  </si>
  <si>
    <t>HVD HG</t>
  </si>
  <si>
    <t>2% HG</t>
  </si>
  <si>
    <t>Storage</t>
  </si>
  <si>
    <t>L1237,L1261,L1285,L1309,L1333,L1357</t>
  </si>
  <si>
    <t>Tuesday</t>
  </si>
  <si>
    <t>L1243,L1267,L1291,L1315,L1339,L1363</t>
  </si>
  <si>
    <t>Wednesday</t>
  </si>
  <si>
    <t>L1246,L1270,L1294,L1318,L1342,L1366</t>
  </si>
  <si>
    <t>Thursday</t>
  </si>
  <si>
    <t>L1249,L1273,L1297,L1321,L1345,L1369</t>
  </si>
  <si>
    <t>Friday</t>
  </si>
  <si>
    <t>L1255,L1279,L1303,L1327,L1351,L1375</t>
  </si>
  <si>
    <t>Saturday</t>
  </si>
  <si>
    <t>Automate</t>
  </si>
  <si>
    <t>Copy and Paste into Chart Formula</t>
  </si>
  <si>
    <t>'Wegmans Cross Dock'!L1234,'Wegmans Cross Dock'!L1258,'Wegmans Cross Dock'!L1282,'Wegmans Cross Dock'!L1306,'Wegmans Cross Dock'!L1330,'Wegmans Cross Dock'!L1354</t>
  </si>
  <si>
    <t>'Wegmans Cross Dock'!L1237,'Wegmans Cross Dock'!L1261,'Wegmans Cross Dock'!L1285,'Wegmans Cross Dock'!L1309,'Wegmans Cross Dock'!L1333,'Wegmans Cross Dock'!L1357</t>
  </si>
  <si>
    <t>'Wegmans Cross Dock'!L1243,'Wegmans Cross Dock'!L1267,'Wegmans Cross Dock'!L1291,'Wegmans Cross Dock'!L1315,'Wegmans Cross Dock'!L1339,'Wegmans Cross Dock'!L1363</t>
  </si>
  <si>
    <t>'Wegmans Cross Dock'!L1246,'Wegmans Cross Dock'!L1270,'Wegmans Cross Dock'!L1294,'Wegmans Cross Dock'!L1318,'Wegmans Cross Dock'!L1342,'Wegmans Cross Dock'!L1366</t>
  </si>
  <si>
    <t>'Wegmans Cross Dock'!L1249,'Wegmans Cross Dock'!L1273,'Wegmans Cross Dock'!L1297,'Wegmans Cross Dock'!L1321,'Wegmans Cross Dock'!L1345,'Wegmans Cross Dock'!L1369</t>
  </si>
  <si>
    <t>'Wegmans Cross Dock'!L1255,'Wegmans Cross Dock'!L1279,'Wegmans Cross Dock'!L1303,'Wegmans Cross Dock'!L1327,'Wegmans Cross Dock'!L1351,'Wegmans Cross Dock'!L1375</t>
  </si>
  <si>
    <t>Average</t>
  </si>
  <si>
    <t>Historical</t>
  </si>
  <si>
    <t>Date Range</t>
  </si>
  <si>
    <t>Pessimistic</t>
  </si>
  <si>
    <t>Expected</t>
  </si>
  <si>
    <t>Optimistic</t>
  </si>
  <si>
    <t>Projected Order</t>
  </si>
  <si>
    <t>Projected Cases</t>
  </si>
  <si>
    <t>Friday Delivery Total</t>
  </si>
  <si>
    <t>Tuesday Delivery Total</t>
  </si>
  <si>
    <t>Friday Delivery</t>
  </si>
  <si>
    <t>2%  HG</t>
  </si>
  <si>
    <t>Tuesday Delivery</t>
  </si>
  <si>
    <t>HVD  HG</t>
  </si>
  <si>
    <t>2% GAL</t>
  </si>
  <si>
    <t>HVD GAL</t>
  </si>
  <si>
    <t xml:space="preserve">Tuesday </t>
  </si>
  <si>
    <t>Total</t>
  </si>
  <si>
    <t>Actual (Current)</t>
  </si>
  <si>
    <t>Delivery Date Averages</t>
  </si>
  <si>
    <t>Weekly Total</t>
  </si>
  <si>
    <t>Saturday Totals</t>
  </si>
  <si>
    <t>Friday Totals</t>
  </si>
  <si>
    <t>Thursday Totals</t>
  </si>
  <si>
    <t>Wednesday Totals</t>
  </si>
  <si>
    <t>Tuesday Totals</t>
  </si>
  <si>
    <t>Monday Totals</t>
  </si>
  <si>
    <t>STNDDEV</t>
  </si>
  <si>
    <t>Wk 3-6</t>
  </si>
  <si>
    <t>Wk 2-5</t>
  </si>
  <si>
    <t>Wk 1-4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</si>
</sst>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26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40"/>
      <color theme="1"/>
      <name val="Aptos Narrow"/>
      <family val="2"/>
      <scheme val="minor"/>
    </font>
    <font>
      <sz val="50"/>
      <color theme="1"/>
      <name val="Aptos Narrow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shrinkToFit="1"/>
    </xf>
    <xf numFmtId="0" fontId="2" fillId="2" borderId="1" xfId="0" applyFont="1" applyFill="1" applyBorder="1" applyAlignment="1">
      <alignment horizontal="center" textRotation="90"/>
    </xf>
    <xf numFmtId="0" fontId="0" fillId="3" borderId="2" xfId="0" applyFill="1" applyBorder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2" fillId="4" borderId="1" xfId="0" applyFont="1" applyFill="1" applyBorder="1" applyAlignment="1">
      <alignment horizontal="center" textRotation="90"/>
    </xf>
    <xf numFmtId="0" fontId="0" fillId="5" borderId="2" xfId="0" applyFill="1" applyBorder="1"/>
    <xf numFmtId="0" fontId="0" fillId="4" borderId="2" xfId="0" applyFill="1" applyBorder="1" applyAlignment="1">
      <alignment horizontal="center"/>
    </xf>
    <xf numFmtId="0" fontId="3" fillId="2" borderId="1" xfId="0" applyFont="1" applyFill="1" applyBorder="1" applyAlignment="1">
      <alignment horizontal="center" textRotation="90"/>
    </xf>
    <xf numFmtId="0" fontId="4" fillId="2" borderId="1" xfId="0" applyFont="1" applyFill="1" applyBorder="1" applyAlignment="1">
      <alignment horizontal="center" textRotation="90"/>
    </xf>
    <xf numFmtId="0" fontId="2" fillId="2" borderId="3" xfId="0" applyFont="1" applyFill="1" applyBorder="1" applyAlignment="1">
      <alignment horizontal="center" textRotation="90"/>
    </xf>
    <xf numFmtId="1" fontId="0" fillId="3" borderId="2" xfId="0" quotePrefix="1" applyNumberFormat="1" applyFill="1" applyBorder="1"/>
    <xf numFmtId="0" fontId="2" fillId="4" borderId="3" xfId="0" applyFont="1" applyFill="1" applyBorder="1" applyAlignment="1">
      <alignment horizontal="center" textRotation="90"/>
    </xf>
    <xf numFmtId="1" fontId="0" fillId="5" borderId="2" xfId="0" quotePrefix="1" applyNumberFormat="1" applyFill="1" applyBorder="1"/>
    <xf numFmtId="0" fontId="3" fillId="2" borderId="3" xfId="0" applyFont="1" applyFill="1" applyBorder="1" applyAlignment="1">
      <alignment horizontal="center" textRotation="90"/>
    </xf>
    <xf numFmtId="0" fontId="4" fillId="2" borderId="3" xfId="0" applyFont="1" applyFill="1" applyBorder="1" applyAlignment="1">
      <alignment horizontal="center" textRotation="90"/>
    </xf>
    <xf numFmtId="0" fontId="0" fillId="0" borderId="0" xfId="0" quotePrefix="1" applyAlignment="1">
      <alignment shrinkToFit="1"/>
    </xf>
    <xf numFmtId="1" fontId="0" fillId="0" borderId="0" xfId="0" quotePrefix="1" applyNumberFormat="1"/>
    <xf numFmtId="0" fontId="2" fillId="2" borderId="4" xfId="0" applyFont="1" applyFill="1" applyBorder="1" applyAlignment="1">
      <alignment horizontal="center" textRotation="90"/>
    </xf>
    <xf numFmtId="0" fontId="2" fillId="4" borderId="4" xfId="0" applyFont="1" applyFill="1" applyBorder="1" applyAlignment="1">
      <alignment horizontal="center" textRotation="90"/>
    </xf>
    <xf numFmtId="0" fontId="3" fillId="2" borderId="4" xfId="0" applyFont="1" applyFill="1" applyBorder="1" applyAlignment="1">
      <alignment horizontal="center" textRotation="90"/>
    </xf>
    <xf numFmtId="0" fontId="4" fillId="2" borderId="4" xfId="0" applyFont="1" applyFill="1" applyBorder="1" applyAlignment="1">
      <alignment horizontal="center" textRotation="90"/>
    </xf>
    <xf numFmtId="0" fontId="0" fillId="6" borderId="2" xfId="0" applyFill="1" applyBorder="1"/>
    <xf numFmtId="1" fontId="0" fillId="6" borderId="2" xfId="0" quotePrefix="1" applyNumberFormat="1" applyFill="1" applyBorder="1"/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/>
    <xf numFmtId="1" fontId="0" fillId="8" borderId="2" xfId="0" applyNumberFormat="1" applyFill="1" applyBorder="1"/>
    <xf numFmtId="14" fontId="0" fillId="3" borderId="2" xfId="0" applyNumberFormat="1" applyFill="1" applyBorder="1"/>
    <xf numFmtId="1" fontId="0" fillId="3" borderId="2" xfId="0" applyNumberFormat="1" applyFill="1" applyBorder="1"/>
    <xf numFmtId="14" fontId="0" fillId="5" borderId="2" xfId="0" applyNumberFormat="1" applyFill="1" applyBorder="1"/>
    <xf numFmtId="1" fontId="0" fillId="5" borderId="2" xfId="0" applyNumberFormat="1" applyFill="1" applyBorder="1"/>
    <xf numFmtId="0" fontId="0" fillId="0" borderId="2" xfId="0" applyBorder="1"/>
    <xf numFmtId="0" fontId="5" fillId="9" borderId="2" xfId="0" applyFont="1" applyFill="1" applyBorder="1"/>
    <xf numFmtId="0" fontId="1" fillId="10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1" fillId="10" borderId="2" xfId="0" applyFont="1" applyFill="1" applyBorder="1"/>
    <xf numFmtId="1" fontId="0" fillId="0" borderId="0" xfId="0" applyNumberFormat="1"/>
    <xf numFmtId="1" fontId="0" fillId="0" borderId="2" xfId="0" applyNumberFormat="1" applyBorder="1"/>
    <xf numFmtId="0" fontId="0" fillId="0" borderId="8" xfId="0" applyBorder="1"/>
    <xf numFmtId="0" fontId="0" fillId="11" borderId="2" xfId="0" applyFill="1" applyBorder="1"/>
    <xf numFmtId="0" fontId="0" fillId="12" borderId="2" xfId="0" applyFill="1" applyBorder="1"/>
    <xf numFmtId="0" fontId="0" fillId="7" borderId="2" xfId="0" applyFill="1" applyBorder="1"/>
    <xf numFmtId="0" fontId="0" fillId="11" borderId="5" xfId="0" applyFill="1" applyBorder="1"/>
    <xf numFmtId="0" fontId="0" fillId="12" borderId="4" xfId="0" applyFill="1" applyBorder="1"/>
    <xf numFmtId="0" fontId="0" fillId="12" borderId="7" xfId="0" applyFill="1" applyBorder="1"/>
    <xf numFmtId="0" fontId="0" fillId="12" borderId="9" xfId="0" applyFill="1" applyBorder="1"/>
    <xf numFmtId="0" fontId="0" fillId="12" borderId="10" xfId="0" applyFill="1" applyBorder="1"/>
    <xf numFmtId="0" fontId="0" fillId="12" borderId="11" xfId="0" applyFill="1" applyBorder="1"/>
    <xf numFmtId="0" fontId="0" fillId="7" borderId="5" xfId="0" applyFill="1" applyBorder="1"/>
    <xf numFmtId="0" fontId="0" fillId="13" borderId="1" xfId="0" applyFill="1" applyBorder="1"/>
    <xf numFmtId="0" fontId="0" fillId="2" borderId="2" xfId="0" applyFill="1" applyBorder="1"/>
    <xf numFmtId="0" fontId="0" fillId="14" borderId="2" xfId="0" applyFill="1" applyBorder="1"/>
    <xf numFmtId="0" fontId="0" fillId="4" borderId="2" xfId="0" applyFill="1" applyBorder="1"/>
    <xf numFmtId="0" fontId="0" fillId="15" borderId="2" xfId="0" applyFill="1" applyBorder="1"/>
    <xf numFmtId="0" fontId="0" fillId="16" borderId="2" xfId="0" applyFill="1" applyBorder="1"/>
    <xf numFmtId="1" fontId="0" fillId="12" borderId="2" xfId="0" applyNumberFormat="1" applyFill="1" applyBorder="1"/>
    <xf numFmtId="0" fontId="0" fillId="13" borderId="2" xfId="0" applyFill="1" applyBorder="1"/>
    <xf numFmtId="0" fontId="1" fillId="2" borderId="2" xfId="0" applyFont="1" applyFill="1" applyBorder="1"/>
    <xf numFmtId="0" fontId="0" fillId="17" borderId="2" xfId="0" applyFill="1" applyBorder="1"/>
    <xf numFmtId="1" fontId="0" fillId="16" borderId="2" xfId="0" applyNumberFormat="1" applyFill="1" applyBorder="1"/>
    <xf numFmtId="0" fontId="0" fillId="18" borderId="2" xfId="0" applyFill="1" applyBorder="1"/>
    <xf numFmtId="0" fontId="0" fillId="10" borderId="2" xfId="0" applyFill="1" applyBorder="1" applyAlignment="1">
      <alignment horizontal="center"/>
    </xf>
    <xf numFmtId="0" fontId="0" fillId="10" borderId="2" xfId="0" applyFill="1" applyBorder="1"/>
    <xf numFmtId="0" fontId="1" fillId="2" borderId="7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17" borderId="7" xfId="0" applyFill="1" applyBorder="1" applyAlignment="1">
      <alignment horizontal="center"/>
    </xf>
    <xf numFmtId="0" fontId="0" fillId="17" borderId="5" xfId="0" applyFill="1" applyBorder="1" applyAlignment="1">
      <alignment horizontal="center"/>
    </xf>
    <xf numFmtId="0" fontId="0" fillId="19" borderId="0" xfId="0" applyFill="1"/>
    <xf numFmtId="0" fontId="0" fillId="20" borderId="2" xfId="0" applyFill="1" applyBorder="1"/>
    <xf numFmtId="1" fontId="0" fillId="7" borderId="2" xfId="0" applyNumberFormat="1" applyFill="1" applyBorder="1"/>
    <xf numFmtId="16" fontId="0" fillId="3" borderId="2" xfId="0" applyNumberFormat="1" applyFill="1" applyBorder="1"/>
    <xf numFmtId="0" fontId="6" fillId="2" borderId="0" xfId="0" applyFont="1" applyFill="1" applyAlignment="1">
      <alignment horizontal="center" textRotation="180"/>
    </xf>
    <xf numFmtId="0" fontId="6" fillId="2" borderId="0" xfId="0" applyFont="1" applyFill="1" applyAlignment="1">
      <alignment horizontal="center" textRotation="90"/>
    </xf>
    <xf numFmtId="0" fontId="0" fillId="17" borderId="0" xfId="0" applyFill="1"/>
    <xf numFmtId="16" fontId="0" fillId="5" borderId="2" xfId="0" applyNumberFormat="1" applyFill="1" applyBorder="1"/>
    <xf numFmtId="0" fontId="5" fillId="5" borderId="2" xfId="0" applyFont="1" applyFill="1" applyBorder="1"/>
    <xf numFmtId="16" fontId="5" fillId="5" borderId="2" xfId="0" applyNumberFormat="1" applyFont="1" applyFill="1" applyBorder="1"/>
    <xf numFmtId="0" fontId="7" fillId="18" borderId="2" xfId="0" applyFont="1" applyFill="1" applyBorder="1" applyAlignment="1">
      <alignment horizontal="center" textRotation="180"/>
    </xf>
    <xf numFmtId="0" fontId="7" fillId="18" borderId="2" xfId="0" applyFont="1" applyFill="1" applyBorder="1" applyAlignment="1">
      <alignment horizontal="center" textRotation="90"/>
    </xf>
    <xf numFmtId="0" fontId="8" fillId="19" borderId="0" xfId="0" applyFont="1" applyFill="1" applyAlignment="1">
      <alignment textRotation="90"/>
    </xf>
    <xf numFmtId="0" fontId="6" fillId="2" borderId="2" xfId="0" applyFont="1" applyFill="1" applyBorder="1" applyAlignment="1">
      <alignment horizontal="center" textRotation="180"/>
    </xf>
    <xf numFmtId="0" fontId="6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horizontal="center" textRotation="180"/>
    </xf>
    <xf numFmtId="0" fontId="7" fillId="2" borderId="2" xfId="0" applyFont="1" applyFill="1" applyBorder="1" applyAlignment="1">
      <alignment horizontal="center" textRotation="90"/>
    </xf>
    <xf numFmtId="0" fontId="6" fillId="4" borderId="2" xfId="0" applyFont="1" applyFill="1" applyBorder="1" applyAlignment="1">
      <alignment horizontal="center" textRotation="180"/>
    </xf>
    <xf numFmtId="0" fontId="6" fillId="4" borderId="2" xfId="0" applyFont="1" applyFill="1" applyBorder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HVD Gal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Week'!$E$1</c:f>
              <c:strCache>
                <c:ptCount val="1"/>
                <c:pt idx="0">
                  <c:v>HVD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Week'!$E$2:$E$7</c:f>
              <c:numCache>
                <c:formatCode>0</c:formatCode>
                <c:ptCount val="6"/>
                <c:pt idx="0">
                  <c:v>99</c:v>
                </c:pt>
                <c:pt idx="1">
                  <c:v>112</c:v>
                </c:pt>
                <c:pt idx="2">
                  <c:v>127</c:v>
                </c:pt>
                <c:pt idx="3">
                  <c:v>115</c:v>
                </c:pt>
                <c:pt idx="4">
                  <c:v>145</c:v>
                </c:pt>
                <c:pt idx="5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7-4370-825C-6A6FB77B6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372991"/>
        <c:axId val="337368671"/>
      </c:lineChart>
      <c:catAx>
        <c:axId val="3373729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68671"/>
        <c:crosses val="autoZero"/>
        <c:auto val="1"/>
        <c:lblAlgn val="ctr"/>
        <c:lblOffset val="100"/>
        <c:noMultiLvlLbl val="0"/>
      </c:catAx>
      <c:valAx>
        <c:axId val="33736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7299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Week'!$F$1</c:f>
              <c:strCache>
                <c:ptCount val="1"/>
                <c:pt idx="0">
                  <c:v>2%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Week'!$F$2:$F$7</c:f>
              <c:numCache>
                <c:formatCode>0</c:formatCode>
                <c:ptCount val="6"/>
                <c:pt idx="0">
                  <c:v>33</c:v>
                </c:pt>
                <c:pt idx="1">
                  <c:v>47</c:v>
                </c:pt>
                <c:pt idx="2">
                  <c:v>68</c:v>
                </c:pt>
                <c:pt idx="3">
                  <c:v>61</c:v>
                </c:pt>
                <c:pt idx="4">
                  <c:v>50</c:v>
                </c:pt>
                <c:pt idx="5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04-44B2-8C76-9B5EFBDE5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2402175"/>
        <c:axId val="1052408415"/>
      </c:lineChart>
      <c:catAx>
        <c:axId val="10524021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408415"/>
        <c:crosses val="autoZero"/>
        <c:auto val="1"/>
        <c:lblAlgn val="ctr"/>
        <c:lblOffset val="100"/>
        <c:noMultiLvlLbl val="0"/>
      </c:catAx>
      <c:valAx>
        <c:axId val="105240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240217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Week'!$G$1</c:f>
              <c:strCache>
                <c:ptCount val="1"/>
                <c:pt idx="0">
                  <c:v>1%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Week'!$G$2:$G$7</c:f>
              <c:numCache>
                <c:formatCode>0</c:formatCode>
                <c:ptCount val="6"/>
                <c:pt idx="0">
                  <c:v>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5E-42B8-9E3B-A5A7C8F0A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855439"/>
        <c:axId val="182846319"/>
      </c:lineChart>
      <c:catAx>
        <c:axId val="1828554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46319"/>
        <c:crosses val="autoZero"/>
        <c:auto val="1"/>
        <c:lblAlgn val="ctr"/>
        <c:lblOffset val="100"/>
        <c:noMultiLvlLbl val="0"/>
      </c:catAx>
      <c:valAx>
        <c:axId val="182846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5543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Week'!$H$1</c:f>
              <c:strCache>
                <c:ptCount val="1"/>
                <c:pt idx="0">
                  <c:v>FF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Week'!$H$2:$H$7</c:f>
              <c:numCache>
                <c:formatCode>0</c:formatCode>
                <c:ptCount val="6"/>
                <c:pt idx="0">
                  <c:v>24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70-46C5-8C6B-DA9A9A993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649775"/>
        <c:axId val="909654095"/>
      </c:lineChart>
      <c:catAx>
        <c:axId val="9096497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654095"/>
        <c:crosses val="autoZero"/>
        <c:auto val="1"/>
        <c:lblAlgn val="ctr"/>
        <c:lblOffset val="100"/>
        <c:noMultiLvlLbl val="0"/>
      </c:catAx>
      <c:valAx>
        <c:axId val="909654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64977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Week'!$I$1</c:f>
              <c:strCache>
                <c:ptCount val="1"/>
                <c:pt idx="0">
                  <c:v>HVD HG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Week'!$I$2:$I$7</c:f>
              <c:numCache>
                <c:formatCode>0</c:formatCode>
                <c:ptCount val="6"/>
                <c:pt idx="0">
                  <c:v>15</c:v>
                </c:pt>
                <c:pt idx="1">
                  <c:v>17</c:v>
                </c:pt>
                <c:pt idx="2">
                  <c:v>30</c:v>
                </c:pt>
                <c:pt idx="3">
                  <c:v>18</c:v>
                </c:pt>
                <c:pt idx="4">
                  <c:v>21</c:v>
                </c:pt>
                <c:pt idx="5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FD-4970-8E94-AD112A01D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536911"/>
        <c:axId val="605546031"/>
      </c:lineChart>
      <c:catAx>
        <c:axId val="605536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546031"/>
        <c:crosses val="autoZero"/>
        <c:auto val="1"/>
        <c:lblAlgn val="ctr"/>
        <c:lblOffset val="100"/>
        <c:noMultiLvlLbl val="0"/>
      </c:catAx>
      <c:valAx>
        <c:axId val="60554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53691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Week'!$J$1</c:f>
              <c:strCache>
                <c:ptCount val="1"/>
                <c:pt idx="0">
                  <c:v>2% HG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Week'!$J$2:$J$7</c:f>
              <c:numCache>
                <c:formatCode>0</c:formatCode>
                <c:ptCount val="6"/>
                <c:pt idx="0">
                  <c:v>20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  <c:pt idx="4">
                  <c:v>14</c:v>
                </c:pt>
                <c:pt idx="5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A0-497D-9328-CCC7948C7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117023"/>
        <c:axId val="1162127103"/>
      </c:lineChart>
      <c:catAx>
        <c:axId val="1162117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27103"/>
        <c:crosses val="autoZero"/>
        <c:auto val="1"/>
        <c:lblAlgn val="ctr"/>
        <c:lblOffset val="100"/>
        <c:noMultiLvlLbl val="0"/>
      </c:catAx>
      <c:valAx>
        <c:axId val="1162127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1702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Week'!$U$1</c:f>
              <c:strCache>
                <c:ptCount val="1"/>
                <c:pt idx="0">
                  <c:v>HVD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Week'!$U$2:$U$7</c:f>
              <c:numCache>
                <c:formatCode>0</c:formatCode>
                <c:ptCount val="6"/>
                <c:pt idx="0">
                  <c:v>142</c:v>
                </c:pt>
                <c:pt idx="1">
                  <c:v>168</c:v>
                </c:pt>
                <c:pt idx="2">
                  <c:v>169</c:v>
                </c:pt>
                <c:pt idx="3">
                  <c:v>151</c:v>
                </c:pt>
                <c:pt idx="4">
                  <c:v>133</c:v>
                </c:pt>
                <c:pt idx="5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C1-45D1-A903-8CFD3EF15D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0575007"/>
        <c:axId val="1450576447"/>
      </c:lineChart>
      <c:catAx>
        <c:axId val="14505750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576447"/>
        <c:crosses val="autoZero"/>
        <c:auto val="1"/>
        <c:lblAlgn val="ctr"/>
        <c:lblOffset val="100"/>
        <c:noMultiLvlLbl val="0"/>
      </c:catAx>
      <c:valAx>
        <c:axId val="145057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057500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Week'!$V$1</c:f>
              <c:strCache>
                <c:ptCount val="1"/>
                <c:pt idx="0">
                  <c:v>2%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Week'!$V$2:$V$7</c:f>
              <c:numCache>
                <c:formatCode>0</c:formatCode>
                <c:ptCount val="6"/>
                <c:pt idx="0">
                  <c:v>53</c:v>
                </c:pt>
                <c:pt idx="1">
                  <c:v>82</c:v>
                </c:pt>
                <c:pt idx="2">
                  <c:v>76</c:v>
                </c:pt>
                <c:pt idx="3">
                  <c:v>83</c:v>
                </c:pt>
                <c:pt idx="4">
                  <c:v>83</c:v>
                </c:pt>
                <c:pt idx="5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E3-4BD6-9C9A-725C53E73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8778431"/>
        <c:axId val="1158777471"/>
      </c:lineChart>
      <c:catAx>
        <c:axId val="11587784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777471"/>
        <c:crosses val="autoZero"/>
        <c:auto val="1"/>
        <c:lblAlgn val="ctr"/>
        <c:lblOffset val="100"/>
        <c:noMultiLvlLbl val="0"/>
      </c:catAx>
      <c:valAx>
        <c:axId val="115877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77843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Week'!$W$1</c:f>
              <c:strCache>
                <c:ptCount val="1"/>
                <c:pt idx="0">
                  <c:v>1%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Week'!$W$2:$W$7</c:f>
              <c:numCache>
                <c:formatCode>0</c:formatCode>
                <c:ptCount val="6"/>
                <c:pt idx="0">
                  <c:v>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27-4359-BF71-79DCF7621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29343"/>
        <c:axId val="622431263"/>
      </c:lineChart>
      <c:catAx>
        <c:axId val="6224293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31263"/>
        <c:crosses val="autoZero"/>
        <c:auto val="1"/>
        <c:lblAlgn val="ctr"/>
        <c:lblOffset val="100"/>
        <c:noMultiLvlLbl val="0"/>
      </c:catAx>
      <c:valAx>
        <c:axId val="62243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293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Week'!$X$1</c:f>
              <c:strCache>
                <c:ptCount val="1"/>
                <c:pt idx="0">
                  <c:v>FF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Week'!$X$2:$X$7</c:f>
              <c:numCache>
                <c:formatCode>0</c:formatCode>
                <c:ptCount val="6"/>
                <c:pt idx="0">
                  <c:v>36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44-48B0-B23B-775EDCCD3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0348687"/>
        <c:axId val="1850348207"/>
      </c:lineChart>
      <c:catAx>
        <c:axId val="18503486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348207"/>
        <c:crosses val="autoZero"/>
        <c:auto val="1"/>
        <c:lblAlgn val="ctr"/>
        <c:lblOffset val="100"/>
        <c:noMultiLvlLbl val="0"/>
      </c:catAx>
      <c:valAx>
        <c:axId val="1850348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34868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Week'!$Y$1</c:f>
              <c:strCache>
                <c:ptCount val="1"/>
                <c:pt idx="0">
                  <c:v>HVD HG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Week'!$Y$2:$Y$7</c:f>
              <c:numCache>
                <c:formatCode>0</c:formatCode>
                <c:ptCount val="6"/>
                <c:pt idx="0">
                  <c:v>33</c:v>
                </c:pt>
                <c:pt idx="1">
                  <c:v>36</c:v>
                </c:pt>
                <c:pt idx="2">
                  <c:v>22</c:v>
                </c:pt>
                <c:pt idx="3">
                  <c:v>32</c:v>
                </c:pt>
                <c:pt idx="4">
                  <c:v>27</c:v>
                </c:pt>
                <c:pt idx="5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31-485D-8372-86E379869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6989535"/>
        <c:axId val="1016978975"/>
      </c:lineChart>
      <c:catAx>
        <c:axId val="10169895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978975"/>
        <c:crosses val="autoZero"/>
        <c:auto val="1"/>
        <c:lblAlgn val="ctr"/>
        <c:lblOffset val="100"/>
        <c:noMultiLvlLbl val="0"/>
      </c:catAx>
      <c:valAx>
        <c:axId val="1016978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98953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Week'!$Z$1</c:f>
              <c:strCache>
                <c:ptCount val="1"/>
                <c:pt idx="0">
                  <c:v>2% HG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Week'!$Z$2:$Z$7</c:f>
              <c:numCache>
                <c:formatCode>0</c:formatCode>
                <c:ptCount val="6"/>
                <c:pt idx="0">
                  <c:v>20</c:v>
                </c:pt>
                <c:pt idx="1">
                  <c:v>21</c:v>
                </c:pt>
                <c:pt idx="2">
                  <c:v>27</c:v>
                </c:pt>
                <c:pt idx="3">
                  <c:v>18</c:v>
                </c:pt>
                <c:pt idx="4">
                  <c:v>26</c:v>
                </c:pt>
                <c:pt idx="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29-43EB-91E8-646C04813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0321807"/>
        <c:axId val="1850314127"/>
      </c:lineChart>
      <c:catAx>
        <c:axId val="18503218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314127"/>
        <c:crosses val="autoZero"/>
        <c:auto val="1"/>
        <c:lblAlgn val="ctr"/>
        <c:lblOffset val="100"/>
        <c:noMultiLvlLbl val="0"/>
      </c:catAx>
      <c:valAx>
        <c:axId val="185031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32180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Week'!$AK$1</c:f>
              <c:strCache>
                <c:ptCount val="1"/>
                <c:pt idx="0">
                  <c:v>HVD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Week'!$AK$2:$AK$7</c:f>
              <c:numCache>
                <c:formatCode>0</c:formatCode>
                <c:ptCount val="6"/>
                <c:pt idx="0">
                  <c:v>90</c:v>
                </c:pt>
                <c:pt idx="1">
                  <c:v>70</c:v>
                </c:pt>
                <c:pt idx="2">
                  <c:v>97</c:v>
                </c:pt>
                <c:pt idx="3">
                  <c:v>78</c:v>
                </c:pt>
                <c:pt idx="4">
                  <c:v>91</c:v>
                </c:pt>
                <c:pt idx="5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6B-46FD-85AD-1D231FFFD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1526159"/>
        <c:axId val="921524719"/>
      </c:lineChart>
      <c:catAx>
        <c:axId val="9215261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524719"/>
        <c:crosses val="autoZero"/>
        <c:auto val="1"/>
        <c:lblAlgn val="ctr"/>
        <c:lblOffset val="100"/>
        <c:noMultiLvlLbl val="0"/>
      </c:catAx>
      <c:valAx>
        <c:axId val="921524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52615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Week'!$AL$1</c:f>
              <c:strCache>
                <c:ptCount val="1"/>
                <c:pt idx="0">
                  <c:v>2%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Week'!$AL$2:$AL$7</c:f>
              <c:numCache>
                <c:formatCode>0</c:formatCode>
                <c:ptCount val="6"/>
                <c:pt idx="0">
                  <c:v>39</c:v>
                </c:pt>
                <c:pt idx="1">
                  <c:v>57</c:v>
                </c:pt>
                <c:pt idx="2">
                  <c:v>60</c:v>
                </c:pt>
                <c:pt idx="3">
                  <c:v>38</c:v>
                </c:pt>
                <c:pt idx="4">
                  <c:v>47</c:v>
                </c:pt>
                <c:pt idx="5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F7-4FFB-BFC8-BC3FF95C2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0315567"/>
        <c:axId val="1850320367"/>
      </c:lineChart>
      <c:catAx>
        <c:axId val="18503155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320367"/>
        <c:crosses val="autoZero"/>
        <c:auto val="1"/>
        <c:lblAlgn val="ctr"/>
        <c:lblOffset val="100"/>
        <c:noMultiLvlLbl val="0"/>
      </c:catAx>
      <c:valAx>
        <c:axId val="1850320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031556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Week'!$AM$1</c:f>
              <c:strCache>
                <c:ptCount val="1"/>
                <c:pt idx="0">
                  <c:v>1%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Week'!$AM$2:$AM$7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21-4C03-A0DE-EB2746D1FB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7502127"/>
        <c:axId val="1787505007"/>
      </c:lineChart>
      <c:catAx>
        <c:axId val="17875021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505007"/>
        <c:crosses val="autoZero"/>
        <c:auto val="1"/>
        <c:lblAlgn val="ctr"/>
        <c:lblOffset val="100"/>
        <c:noMultiLvlLbl val="0"/>
      </c:catAx>
      <c:valAx>
        <c:axId val="1787505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750212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Week'!$AN$1</c:f>
              <c:strCache>
                <c:ptCount val="1"/>
                <c:pt idx="0">
                  <c:v>FF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Week'!$AN$2:$AN$7</c:f>
              <c:numCache>
                <c:formatCode>0</c:formatCode>
                <c:ptCount val="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C1-4392-A5E6-9A29753CD6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9617135"/>
        <c:axId val="909617615"/>
      </c:lineChart>
      <c:catAx>
        <c:axId val="90961713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617615"/>
        <c:crosses val="autoZero"/>
        <c:auto val="1"/>
        <c:lblAlgn val="ctr"/>
        <c:lblOffset val="100"/>
        <c:noMultiLvlLbl val="0"/>
      </c:catAx>
      <c:valAx>
        <c:axId val="909617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961713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Week'!$AO$1</c:f>
              <c:strCache>
                <c:ptCount val="1"/>
                <c:pt idx="0">
                  <c:v>HVD HG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Week'!$AO$2:$AO$7</c:f>
              <c:numCache>
                <c:formatCode>0</c:formatCode>
                <c:ptCount val="6"/>
                <c:pt idx="0">
                  <c:v>18</c:v>
                </c:pt>
                <c:pt idx="1">
                  <c:v>15</c:v>
                </c:pt>
                <c:pt idx="2">
                  <c:v>15</c:v>
                </c:pt>
                <c:pt idx="3">
                  <c:v>19</c:v>
                </c:pt>
                <c:pt idx="4">
                  <c:v>28</c:v>
                </c:pt>
                <c:pt idx="5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39-4FD8-96EA-663981D45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6978975"/>
        <c:axId val="1016994335"/>
      </c:lineChart>
      <c:catAx>
        <c:axId val="101697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994335"/>
        <c:crosses val="autoZero"/>
        <c:auto val="1"/>
        <c:lblAlgn val="ctr"/>
        <c:lblOffset val="100"/>
        <c:noMultiLvlLbl val="0"/>
      </c:catAx>
      <c:valAx>
        <c:axId val="1016994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6978975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Week'!$AP$1</c:f>
              <c:strCache>
                <c:ptCount val="1"/>
                <c:pt idx="0">
                  <c:v>2% HG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Week'!$AP$2:$AP$7</c:f>
              <c:numCache>
                <c:formatCode>0</c:formatCode>
                <c:ptCount val="6"/>
                <c:pt idx="0">
                  <c:v>10</c:v>
                </c:pt>
                <c:pt idx="1">
                  <c:v>15</c:v>
                </c:pt>
                <c:pt idx="2">
                  <c:v>18</c:v>
                </c:pt>
                <c:pt idx="3">
                  <c:v>7</c:v>
                </c:pt>
                <c:pt idx="4">
                  <c:v>17</c:v>
                </c:pt>
                <c:pt idx="5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BE-45EB-B8AE-058FF1E99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1589999"/>
        <c:axId val="921590479"/>
      </c:lineChart>
      <c:catAx>
        <c:axId val="9215899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590479"/>
        <c:crosses val="autoZero"/>
        <c:auto val="1"/>
        <c:lblAlgn val="ctr"/>
        <c:lblOffset val="100"/>
        <c:noMultiLvlLbl val="0"/>
      </c:catAx>
      <c:valAx>
        <c:axId val="921590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58999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Week'!$BA$1</c:f>
              <c:strCache>
                <c:ptCount val="1"/>
                <c:pt idx="0">
                  <c:v>HVD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Week'!$BA$2:$BA$7</c:f>
              <c:numCache>
                <c:formatCode>0</c:formatCode>
                <c:ptCount val="6"/>
                <c:pt idx="0">
                  <c:v>201</c:v>
                </c:pt>
                <c:pt idx="1">
                  <c:v>185</c:v>
                </c:pt>
                <c:pt idx="2">
                  <c:v>155</c:v>
                </c:pt>
                <c:pt idx="3">
                  <c:v>178</c:v>
                </c:pt>
                <c:pt idx="4">
                  <c:v>160</c:v>
                </c:pt>
                <c:pt idx="5">
                  <c:v>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6D-4CB7-900B-75B1EC4ED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93183"/>
        <c:axId val="622486463"/>
      </c:lineChart>
      <c:catAx>
        <c:axId val="6224931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86463"/>
        <c:crosses val="autoZero"/>
        <c:auto val="1"/>
        <c:lblAlgn val="ctr"/>
        <c:lblOffset val="100"/>
        <c:noMultiLvlLbl val="0"/>
      </c:catAx>
      <c:valAx>
        <c:axId val="622486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9318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Week'!$BB$1</c:f>
              <c:strCache>
                <c:ptCount val="1"/>
                <c:pt idx="0">
                  <c:v>2%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Week'!$BB$2:$BB$7</c:f>
              <c:numCache>
                <c:formatCode>0</c:formatCode>
                <c:ptCount val="6"/>
                <c:pt idx="0">
                  <c:v>121</c:v>
                </c:pt>
                <c:pt idx="1">
                  <c:v>147</c:v>
                </c:pt>
                <c:pt idx="2">
                  <c:v>125</c:v>
                </c:pt>
                <c:pt idx="3">
                  <c:v>158</c:v>
                </c:pt>
                <c:pt idx="4">
                  <c:v>139</c:v>
                </c:pt>
                <c:pt idx="5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F0-4451-8772-F7064D1B7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4905199"/>
        <c:axId val="434898479"/>
      </c:lineChart>
      <c:catAx>
        <c:axId val="4349051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898479"/>
        <c:crosses val="autoZero"/>
        <c:auto val="1"/>
        <c:lblAlgn val="ctr"/>
        <c:lblOffset val="100"/>
        <c:noMultiLvlLbl val="0"/>
      </c:catAx>
      <c:valAx>
        <c:axId val="434898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90519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Week'!$BC$1</c:f>
              <c:strCache>
                <c:ptCount val="1"/>
                <c:pt idx="0">
                  <c:v>1%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Week'!$BC$2:$BC$7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B8-4550-81BA-783D44AE3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492223"/>
        <c:axId val="622484063"/>
      </c:lineChart>
      <c:catAx>
        <c:axId val="622492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84063"/>
        <c:crosses val="autoZero"/>
        <c:auto val="1"/>
        <c:lblAlgn val="ctr"/>
        <c:lblOffset val="100"/>
        <c:noMultiLvlLbl val="0"/>
      </c:catAx>
      <c:valAx>
        <c:axId val="62248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49222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Week'!$BD$1</c:f>
              <c:strCache>
                <c:ptCount val="1"/>
                <c:pt idx="0">
                  <c:v>FF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Week'!$BD$2:$BD$7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B7-45BA-BD01-E15F7CA7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629983"/>
        <c:axId val="1181637183"/>
      </c:lineChart>
      <c:catAx>
        <c:axId val="11816299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37183"/>
        <c:crosses val="autoZero"/>
        <c:auto val="1"/>
        <c:lblAlgn val="ctr"/>
        <c:lblOffset val="100"/>
        <c:noMultiLvlLbl val="0"/>
      </c:catAx>
      <c:valAx>
        <c:axId val="118163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2998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Week'!$BE$1</c:f>
              <c:strCache>
                <c:ptCount val="1"/>
                <c:pt idx="0">
                  <c:v>HVD HG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Week'!$BE$2:$BE$7</c:f>
              <c:numCache>
                <c:formatCode>0</c:formatCode>
                <c:ptCount val="6"/>
                <c:pt idx="0">
                  <c:v>33</c:v>
                </c:pt>
                <c:pt idx="1">
                  <c:v>39</c:v>
                </c:pt>
                <c:pt idx="2">
                  <c:v>17</c:v>
                </c:pt>
                <c:pt idx="3">
                  <c:v>47</c:v>
                </c:pt>
                <c:pt idx="4">
                  <c:v>47</c:v>
                </c:pt>
                <c:pt idx="5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DF-4375-890D-F1EBB3C3E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653983"/>
        <c:axId val="1181654943"/>
      </c:lineChart>
      <c:catAx>
        <c:axId val="11816539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54943"/>
        <c:crosses val="autoZero"/>
        <c:auto val="1"/>
        <c:lblAlgn val="ctr"/>
        <c:lblOffset val="100"/>
        <c:noMultiLvlLbl val="0"/>
      </c:catAx>
      <c:valAx>
        <c:axId val="1181654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5398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Week'!$BF$1</c:f>
              <c:strCache>
                <c:ptCount val="1"/>
                <c:pt idx="0">
                  <c:v>2% HG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Week'!$BF$2:$BF$7</c:f>
              <c:numCache>
                <c:formatCode>0</c:formatCode>
                <c:ptCount val="6"/>
                <c:pt idx="0">
                  <c:v>21</c:v>
                </c:pt>
                <c:pt idx="1">
                  <c:v>29</c:v>
                </c:pt>
                <c:pt idx="2">
                  <c:v>33</c:v>
                </c:pt>
                <c:pt idx="3">
                  <c:v>39</c:v>
                </c:pt>
                <c:pt idx="4">
                  <c:v>32</c:v>
                </c:pt>
                <c:pt idx="5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80-4175-9FE4-69498B50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6068703"/>
        <c:axId val="906071103"/>
      </c:lineChart>
      <c:catAx>
        <c:axId val="9060687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071103"/>
        <c:crosses val="autoZero"/>
        <c:auto val="1"/>
        <c:lblAlgn val="ctr"/>
        <c:lblOffset val="100"/>
        <c:noMultiLvlLbl val="0"/>
      </c:catAx>
      <c:valAx>
        <c:axId val="906071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06870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Week'!$BQ$1</c:f>
              <c:strCache>
                <c:ptCount val="1"/>
                <c:pt idx="0">
                  <c:v>HVD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Week'!$BQ$2:$BQ$7</c:f>
              <c:numCache>
                <c:formatCode>0</c:formatCode>
                <c:ptCount val="6"/>
                <c:pt idx="0">
                  <c:v>270</c:v>
                </c:pt>
                <c:pt idx="1">
                  <c:v>202</c:v>
                </c:pt>
                <c:pt idx="2">
                  <c:v>206</c:v>
                </c:pt>
                <c:pt idx="3">
                  <c:v>209</c:v>
                </c:pt>
                <c:pt idx="4">
                  <c:v>206</c:v>
                </c:pt>
                <c:pt idx="5">
                  <c:v>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E-406F-901F-E890B09CA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588031"/>
        <c:axId val="1205588511"/>
      </c:lineChart>
      <c:catAx>
        <c:axId val="12055880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588511"/>
        <c:crosses val="autoZero"/>
        <c:auto val="1"/>
        <c:lblAlgn val="ctr"/>
        <c:lblOffset val="100"/>
        <c:noMultiLvlLbl val="0"/>
      </c:catAx>
      <c:valAx>
        <c:axId val="1205588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58803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Week'!$BR$1</c:f>
              <c:strCache>
                <c:ptCount val="1"/>
                <c:pt idx="0">
                  <c:v>2%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Week'!$BR$2:$BR$7</c:f>
              <c:numCache>
                <c:formatCode>0</c:formatCode>
                <c:ptCount val="6"/>
                <c:pt idx="0">
                  <c:v>157</c:v>
                </c:pt>
                <c:pt idx="1">
                  <c:v>226</c:v>
                </c:pt>
                <c:pt idx="2">
                  <c:v>117</c:v>
                </c:pt>
                <c:pt idx="3">
                  <c:v>148</c:v>
                </c:pt>
                <c:pt idx="4">
                  <c:v>143</c:v>
                </c:pt>
                <c:pt idx="5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D1-4C76-9015-093288BBA2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586111"/>
        <c:axId val="1205586591"/>
      </c:lineChart>
      <c:catAx>
        <c:axId val="12055861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586591"/>
        <c:crosses val="autoZero"/>
        <c:auto val="1"/>
        <c:lblAlgn val="ctr"/>
        <c:lblOffset val="100"/>
        <c:noMultiLvlLbl val="0"/>
      </c:catAx>
      <c:valAx>
        <c:axId val="120558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58611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Week'!$BS$1</c:f>
              <c:strCache>
                <c:ptCount val="1"/>
                <c:pt idx="0">
                  <c:v>1%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Week'!$BS$2:$BS$7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E8-4ADB-8DA6-049F2E6E5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32479"/>
        <c:axId val="722740159"/>
      </c:lineChart>
      <c:catAx>
        <c:axId val="7227324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40159"/>
        <c:crosses val="autoZero"/>
        <c:auto val="1"/>
        <c:lblAlgn val="ctr"/>
        <c:lblOffset val="100"/>
        <c:noMultiLvlLbl val="0"/>
      </c:catAx>
      <c:valAx>
        <c:axId val="72274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324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Week'!$BT$1</c:f>
              <c:strCache>
                <c:ptCount val="1"/>
                <c:pt idx="0">
                  <c:v>FF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00B050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Week'!$BT$2:$BT$7</c:f>
              <c:numCache>
                <c:formatCode>0</c:formatCode>
                <c:ptCount val="6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28-4F26-A176-8B20772BC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40639"/>
        <c:axId val="722750719"/>
      </c:lineChart>
      <c:catAx>
        <c:axId val="7227406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50719"/>
        <c:crosses val="autoZero"/>
        <c:auto val="1"/>
        <c:lblAlgn val="ctr"/>
        <c:lblOffset val="100"/>
        <c:noMultiLvlLbl val="0"/>
      </c:catAx>
      <c:valAx>
        <c:axId val="72275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4063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Week'!$BU$1</c:f>
              <c:strCache>
                <c:ptCount val="1"/>
                <c:pt idx="0">
                  <c:v>HVD HG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Week'!$BU$2:$BU$7</c:f>
              <c:numCache>
                <c:formatCode>0</c:formatCode>
                <c:ptCount val="6"/>
                <c:pt idx="0">
                  <c:v>38</c:v>
                </c:pt>
                <c:pt idx="1">
                  <c:v>60</c:v>
                </c:pt>
                <c:pt idx="2">
                  <c:v>37</c:v>
                </c:pt>
                <c:pt idx="3">
                  <c:v>54</c:v>
                </c:pt>
                <c:pt idx="4">
                  <c:v>46</c:v>
                </c:pt>
                <c:pt idx="5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32-44CE-98A5-7CC950371C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476863"/>
        <c:axId val="569487903"/>
      </c:lineChart>
      <c:catAx>
        <c:axId val="5694768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87903"/>
        <c:crosses val="autoZero"/>
        <c:auto val="1"/>
        <c:lblAlgn val="ctr"/>
        <c:lblOffset val="100"/>
        <c:noMultiLvlLbl val="0"/>
      </c:catAx>
      <c:valAx>
        <c:axId val="569487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768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Week'!$BV$1</c:f>
              <c:strCache>
                <c:ptCount val="1"/>
                <c:pt idx="0">
                  <c:v>2% HG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Week'!$BV$2:$BV$7</c:f>
              <c:numCache>
                <c:formatCode>0</c:formatCode>
                <c:ptCount val="6"/>
                <c:pt idx="0">
                  <c:v>27</c:v>
                </c:pt>
                <c:pt idx="1">
                  <c:v>29</c:v>
                </c:pt>
                <c:pt idx="2">
                  <c:v>38</c:v>
                </c:pt>
                <c:pt idx="3">
                  <c:v>37</c:v>
                </c:pt>
                <c:pt idx="4">
                  <c:v>39</c:v>
                </c:pt>
                <c:pt idx="5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7B-4F87-8043-C1C0215739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794879"/>
        <c:axId val="722798239"/>
      </c:lineChart>
      <c:catAx>
        <c:axId val="7227948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98239"/>
        <c:crosses val="autoZero"/>
        <c:auto val="1"/>
        <c:lblAlgn val="ctr"/>
        <c:lblOffset val="100"/>
        <c:noMultiLvlLbl val="0"/>
      </c:catAx>
      <c:valAx>
        <c:axId val="72279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79487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Week'!$CG$1</c:f>
              <c:strCache>
                <c:ptCount val="1"/>
                <c:pt idx="0">
                  <c:v>HVD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40000"/>
                    <a:lumOff val="60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Week'!$CG$2:$CG$7</c:f>
              <c:numCache>
                <c:formatCode>0</c:formatCode>
                <c:ptCount val="6"/>
                <c:pt idx="0">
                  <c:v>317</c:v>
                </c:pt>
                <c:pt idx="1">
                  <c:v>290</c:v>
                </c:pt>
                <c:pt idx="2">
                  <c:v>335</c:v>
                </c:pt>
                <c:pt idx="3">
                  <c:v>315</c:v>
                </c:pt>
                <c:pt idx="4">
                  <c:v>334</c:v>
                </c:pt>
                <c:pt idx="5">
                  <c:v>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9C-4595-9C22-A71C38756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0556447"/>
        <c:axId val="800545407"/>
      </c:lineChart>
      <c:catAx>
        <c:axId val="8005564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545407"/>
        <c:crosses val="autoZero"/>
        <c:auto val="1"/>
        <c:lblAlgn val="ctr"/>
        <c:lblOffset val="100"/>
        <c:noMultiLvlLbl val="0"/>
      </c:catAx>
      <c:valAx>
        <c:axId val="800545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556447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Week'!$CH$1</c:f>
              <c:strCache>
                <c:ptCount val="1"/>
                <c:pt idx="0">
                  <c:v>2%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40000"/>
                    <a:lumOff val="60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Week'!$CH$2:$CH$7</c:f>
              <c:numCache>
                <c:formatCode>0</c:formatCode>
                <c:ptCount val="6"/>
                <c:pt idx="0">
                  <c:v>206</c:v>
                </c:pt>
                <c:pt idx="1">
                  <c:v>204</c:v>
                </c:pt>
                <c:pt idx="2">
                  <c:v>190</c:v>
                </c:pt>
                <c:pt idx="3">
                  <c:v>218</c:v>
                </c:pt>
                <c:pt idx="4">
                  <c:v>189</c:v>
                </c:pt>
                <c:pt idx="5">
                  <c:v>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BF-411E-AD25-B23B73CD3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556111"/>
        <c:axId val="1217545071"/>
      </c:lineChart>
      <c:catAx>
        <c:axId val="12175561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545071"/>
        <c:crosses val="autoZero"/>
        <c:auto val="1"/>
        <c:lblAlgn val="ctr"/>
        <c:lblOffset val="100"/>
        <c:noMultiLvlLbl val="0"/>
      </c:catAx>
      <c:valAx>
        <c:axId val="1217545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7556111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Week'!$CI$1</c:f>
              <c:strCache>
                <c:ptCount val="1"/>
                <c:pt idx="0">
                  <c:v>1%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40000"/>
                    <a:lumOff val="60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Week'!$CI$2:$CI$7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1D-4834-9118-986838611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471103"/>
        <c:axId val="569482143"/>
      </c:lineChart>
      <c:catAx>
        <c:axId val="5694711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82143"/>
        <c:crosses val="autoZero"/>
        <c:auto val="1"/>
        <c:lblAlgn val="ctr"/>
        <c:lblOffset val="100"/>
        <c:noMultiLvlLbl val="0"/>
      </c:catAx>
      <c:valAx>
        <c:axId val="56948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47110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Week'!$CJ$1</c:f>
              <c:strCache>
                <c:ptCount val="1"/>
                <c:pt idx="0">
                  <c:v>FF Gal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40000"/>
                    <a:lumOff val="60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Week'!$CJ$2:$CJ$7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9E-4208-BB3A-9CF4B2E08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1653503"/>
        <c:axId val="1181655903"/>
      </c:lineChart>
      <c:catAx>
        <c:axId val="11816535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55903"/>
        <c:crosses val="autoZero"/>
        <c:auto val="1"/>
        <c:lblAlgn val="ctr"/>
        <c:lblOffset val="100"/>
        <c:noMultiLvlLbl val="0"/>
      </c:catAx>
      <c:valAx>
        <c:axId val="118165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65350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Week'!$CK$1</c:f>
              <c:strCache>
                <c:ptCount val="1"/>
                <c:pt idx="0">
                  <c:v>HVD HG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40000"/>
                    <a:lumOff val="60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Week'!$CK$2:$CK$7</c:f>
              <c:numCache>
                <c:formatCode>0</c:formatCode>
                <c:ptCount val="6"/>
                <c:pt idx="0">
                  <c:v>76</c:v>
                </c:pt>
                <c:pt idx="1">
                  <c:v>71</c:v>
                </c:pt>
                <c:pt idx="2">
                  <c:v>84</c:v>
                </c:pt>
                <c:pt idx="3">
                  <c:v>60</c:v>
                </c:pt>
                <c:pt idx="4">
                  <c:v>64</c:v>
                </c:pt>
                <c:pt idx="5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76-4804-9437-605F2F956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087023"/>
        <c:axId val="347072623"/>
      </c:lineChart>
      <c:catAx>
        <c:axId val="3470870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72623"/>
        <c:crosses val="autoZero"/>
        <c:auto val="1"/>
        <c:lblAlgn val="ctr"/>
        <c:lblOffset val="100"/>
        <c:noMultiLvlLbl val="0"/>
      </c:catAx>
      <c:valAx>
        <c:axId val="34707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08702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'[1]6 Week'!$CL$1</c:f>
              <c:strCache>
                <c:ptCount val="1"/>
                <c:pt idx="0">
                  <c:v>2% HG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>
                    <a:lumMod val="40000"/>
                    <a:lumOff val="60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val>
            <c:numRef>
              <c:f>'[1]6 Week'!$CL$2:$CL$7</c:f>
              <c:numCache>
                <c:formatCode>0</c:formatCode>
                <c:ptCount val="6"/>
                <c:pt idx="0">
                  <c:v>48</c:v>
                </c:pt>
                <c:pt idx="1">
                  <c:v>37</c:v>
                </c:pt>
                <c:pt idx="2">
                  <c:v>55</c:v>
                </c:pt>
                <c:pt idx="3">
                  <c:v>51</c:v>
                </c:pt>
                <c:pt idx="4">
                  <c:v>49</c:v>
                </c:pt>
                <c:pt idx="5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AE-42AB-B9AD-BF29EFEFB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3902399"/>
        <c:axId val="1073905759"/>
      </c:lineChart>
      <c:catAx>
        <c:axId val="10739023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905759"/>
        <c:crosses val="autoZero"/>
        <c:auto val="1"/>
        <c:lblAlgn val="ctr"/>
        <c:lblOffset val="100"/>
        <c:noMultiLvlLbl val="0"/>
      </c:catAx>
      <c:valAx>
        <c:axId val="107390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3902399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0</xdr:rowOff>
    </xdr:from>
    <xdr:to>
      <xdr:col>9</xdr:col>
      <xdr:colOff>508</xdr:colOff>
      <xdr:row>15</xdr:row>
      <xdr:rowOff>4572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72E82D1A-5F20-4BEC-B38F-01248EFBA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0</xdr:row>
      <xdr:rowOff>0</xdr:rowOff>
    </xdr:from>
    <xdr:to>
      <xdr:col>16</xdr:col>
      <xdr:colOff>597408</xdr:colOff>
      <xdr:row>15</xdr:row>
      <xdr:rowOff>4572</xdr:rowOff>
    </xdr:to>
    <xdr:graphicFrame macro="">
      <xdr:nvGraphicFramePr>
        <xdr:cNvPr id="3" name="Chart 7">
          <a:extLst>
            <a:ext uri="{FF2B5EF4-FFF2-40B4-BE49-F238E27FC236}">
              <a16:creationId xmlns:a16="http://schemas.microsoft.com/office/drawing/2014/main" id="{62372488-C7C8-4E63-91BF-38A2DEDCBE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594360</xdr:colOff>
      <xdr:row>0</xdr:row>
      <xdr:rowOff>0</xdr:rowOff>
    </xdr:from>
    <xdr:to>
      <xdr:col>24</xdr:col>
      <xdr:colOff>587248</xdr:colOff>
      <xdr:row>15</xdr:row>
      <xdr:rowOff>4572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6D9BAFDE-BEEA-43B0-B43F-E2F203B063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601980</xdr:colOff>
      <xdr:row>0</xdr:row>
      <xdr:rowOff>0</xdr:rowOff>
    </xdr:from>
    <xdr:to>
      <xdr:col>32</xdr:col>
      <xdr:colOff>594868</xdr:colOff>
      <xdr:row>15</xdr:row>
      <xdr:rowOff>4572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98BDABE2-3E25-4162-9236-756D128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0</xdr:row>
      <xdr:rowOff>0</xdr:rowOff>
    </xdr:from>
    <xdr:to>
      <xdr:col>40</xdr:col>
      <xdr:colOff>594360</xdr:colOff>
      <xdr:row>15</xdr:row>
      <xdr:rowOff>0</xdr:rowOff>
    </xdr:to>
    <xdr:graphicFrame macro="">
      <xdr:nvGraphicFramePr>
        <xdr:cNvPr id="6" name="Chart 10">
          <a:extLst>
            <a:ext uri="{FF2B5EF4-FFF2-40B4-BE49-F238E27FC236}">
              <a16:creationId xmlns:a16="http://schemas.microsoft.com/office/drawing/2014/main" id="{E99D597F-42CA-4965-AFB2-D928BC81C7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594360</xdr:colOff>
      <xdr:row>0</xdr:row>
      <xdr:rowOff>0</xdr:rowOff>
    </xdr:from>
    <xdr:to>
      <xdr:col>48</xdr:col>
      <xdr:colOff>591312</xdr:colOff>
      <xdr:row>15</xdr:row>
      <xdr:rowOff>0</xdr:rowOff>
    </xdr:to>
    <xdr:graphicFrame macro="">
      <xdr:nvGraphicFramePr>
        <xdr:cNvPr id="7" name="Chart 11">
          <a:extLst>
            <a:ext uri="{FF2B5EF4-FFF2-40B4-BE49-F238E27FC236}">
              <a16:creationId xmlns:a16="http://schemas.microsoft.com/office/drawing/2014/main" id="{420F87A3-1C09-4C5F-80EC-169804652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7620</xdr:colOff>
      <xdr:row>21</xdr:row>
      <xdr:rowOff>0</xdr:rowOff>
    </xdr:from>
    <xdr:to>
      <xdr:col>8</xdr:col>
      <xdr:colOff>605028</xdr:colOff>
      <xdr:row>36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D77390B-9B0B-4AC4-84B6-8020238FC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21</xdr:row>
      <xdr:rowOff>0</xdr:rowOff>
    </xdr:from>
    <xdr:to>
      <xdr:col>16</xdr:col>
      <xdr:colOff>597408</xdr:colOff>
      <xdr:row>36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FF92FA14-0799-4FBC-9DF7-7B8AD515C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594360</xdr:colOff>
      <xdr:row>21</xdr:row>
      <xdr:rowOff>4445</xdr:rowOff>
    </xdr:from>
    <xdr:to>
      <xdr:col>25</xdr:col>
      <xdr:colOff>3787</xdr:colOff>
      <xdr:row>36</xdr:row>
      <xdr:rowOff>4445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7D899E6-7495-499B-9AFF-840C715C2B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25</xdr:col>
      <xdr:colOff>7620</xdr:colOff>
      <xdr:row>21</xdr:row>
      <xdr:rowOff>4445</xdr:rowOff>
    </xdr:from>
    <xdr:to>
      <xdr:col>33</xdr:col>
      <xdr:colOff>1778</xdr:colOff>
      <xdr:row>36</xdr:row>
      <xdr:rowOff>4445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70FD7AC-1C2F-4B96-893D-3623630D8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33</xdr:col>
      <xdr:colOff>0</xdr:colOff>
      <xdr:row>21</xdr:row>
      <xdr:rowOff>4445</xdr:rowOff>
    </xdr:from>
    <xdr:to>
      <xdr:col>40</xdr:col>
      <xdr:colOff>597408</xdr:colOff>
      <xdr:row>36</xdr:row>
      <xdr:rowOff>4445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FEE8A71-A89A-4DFA-B802-B1C08C6EA2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601980</xdr:colOff>
      <xdr:row>21</xdr:row>
      <xdr:rowOff>4445</xdr:rowOff>
    </xdr:from>
    <xdr:to>
      <xdr:col>48</xdr:col>
      <xdr:colOff>594868</xdr:colOff>
      <xdr:row>36</xdr:row>
      <xdr:rowOff>4445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AC1C46A-B176-4839-821D-5B4A902340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7620</xdr:colOff>
      <xdr:row>42</xdr:row>
      <xdr:rowOff>6985</xdr:rowOff>
    </xdr:from>
    <xdr:to>
      <xdr:col>9</xdr:col>
      <xdr:colOff>1778</xdr:colOff>
      <xdr:row>57</xdr:row>
      <xdr:rowOff>11557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EE8EE7D-8D51-449D-9F2D-29EEF7B14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42</xdr:row>
      <xdr:rowOff>6985</xdr:rowOff>
    </xdr:from>
    <xdr:to>
      <xdr:col>16</xdr:col>
      <xdr:colOff>597408</xdr:colOff>
      <xdr:row>57</xdr:row>
      <xdr:rowOff>11557</xdr:rowOff>
    </xdr:to>
    <xdr:graphicFrame macro="">
      <xdr:nvGraphicFramePr>
        <xdr:cNvPr id="15" name="Chart 19">
          <a:extLst>
            <a:ext uri="{FF2B5EF4-FFF2-40B4-BE49-F238E27FC236}">
              <a16:creationId xmlns:a16="http://schemas.microsoft.com/office/drawing/2014/main" id="{34FE974D-F68A-4772-87FD-9B8FE1759C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16</xdr:col>
      <xdr:colOff>601980</xdr:colOff>
      <xdr:row>42</xdr:row>
      <xdr:rowOff>6985</xdr:rowOff>
    </xdr:from>
    <xdr:to>
      <xdr:col>24</xdr:col>
      <xdr:colOff>594868</xdr:colOff>
      <xdr:row>57</xdr:row>
      <xdr:rowOff>11557</xdr:rowOff>
    </xdr:to>
    <xdr:graphicFrame macro="">
      <xdr:nvGraphicFramePr>
        <xdr:cNvPr id="16" name="Chart 20">
          <a:extLst>
            <a:ext uri="{FF2B5EF4-FFF2-40B4-BE49-F238E27FC236}">
              <a16:creationId xmlns:a16="http://schemas.microsoft.com/office/drawing/2014/main" id="{CE78A831-D3A3-42EB-93F4-E475AF4C9E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598714</xdr:colOff>
      <xdr:row>42</xdr:row>
      <xdr:rowOff>5896</xdr:rowOff>
    </xdr:from>
    <xdr:to>
      <xdr:col>32</xdr:col>
      <xdr:colOff>591602</xdr:colOff>
      <xdr:row>57</xdr:row>
      <xdr:rowOff>10468</xdr:rowOff>
    </xdr:to>
    <xdr:graphicFrame macro="">
      <xdr:nvGraphicFramePr>
        <xdr:cNvPr id="17" name="Chart 21">
          <a:extLst>
            <a:ext uri="{FF2B5EF4-FFF2-40B4-BE49-F238E27FC236}">
              <a16:creationId xmlns:a16="http://schemas.microsoft.com/office/drawing/2014/main" id="{7A7CA2E0-4539-485F-84D6-96F9E4804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32</xdr:col>
      <xdr:colOff>598714</xdr:colOff>
      <xdr:row>42</xdr:row>
      <xdr:rowOff>5897</xdr:rowOff>
    </xdr:from>
    <xdr:to>
      <xdr:col>40</xdr:col>
      <xdr:colOff>591602</xdr:colOff>
      <xdr:row>57</xdr:row>
      <xdr:rowOff>10469</xdr:rowOff>
    </xdr:to>
    <xdr:graphicFrame macro="">
      <xdr:nvGraphicFramePr>
        <xdr:cNvPr id="18" name="Chart 22">
          <a:extLst>
            <a:ext uri="{FF2B5EF4-FFF2-40B4-BE49-F238E27FC236}">
              <a16:creationId xmlns:a16="http://schemas.microsoft.com/office/drawing/2014/main" id="{FDAACC40-D11D-4BAF-9E19-25E9A9031C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40</xdr:col>
      <xdr:colOff>598715</xdr:colOff>
      <xdr:row>42</xdr:row>
      <xdr:rowOff>5896</xdr:rowOff>
    </xdr:from>
    <xdr:to>
      <xdr:col>48</xdr:col>
      <xdr:colOff>591603</xdr:colOff>
      <xdr:row>57</xdr:row>
      <xdr:rowOff>10468</xdr:rowOff>
    </xdr:to>
    <xdr:graphicFrame macro="">
      <xdr:nvGraphicFramePr>
        <xdr:cNvPr id="19" name="Chart 23">
          <a:extLst>
            <a:ext uri="{FF2B5EF4-FFF2-40B4-BE49-F238E27FC236}">
              <a16:creationId xmlns:a16="http://schemas.microsoft.com/office/drawing/2014/main" id="{2DA6D12E-FDFD-4C06-9994-AC20A66D7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10885</xdr:colOff>
      <xdr:row>62</xdr:row>
      <xdr:rowOff>175985</xdr:rowOff>
    </xdr:from>
    <xdr:to>
      <xdr:col>9</xdr:col>
      <xdr:colOff>7837</xdr:colOff>
      <xdr:row>78</xdr:row>
      <xdr:rowOff>1233</xdr:rowOff>
    </xdr:to>
    <xdr:graphicFrame macro="">
      <xdr:nvGraphicFramePr>
        <xdr:cNvPr id="20" name="Chart 24">
          <a:extLst>
            <a:ext uri="{FF2B5EF4-FFF2-40B4-BE49-F238E27FC236}">
              <a16:creationId xmlns:a16="http://schemas.microsoft.com/office/drawing/2014/main" id="{B8A28A90-1BF2-43A7-AAD3-4F38F21161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</xdr:col>
      <xdr:colOff>584200</xdr:colOff>
      <xdr:row>62</xdr:row>
      <xdr:rowOff>175986</xdr:rowOff>
    </xdr:from>
    <xdr:to>
      <xdr:col>16</xdr:col>
      <xdr:colOff>581152</xdr:colOff>
      <xdr:row>78</xdr:row>
      <xdr:rowOff>1234</xdr:rowOff>
    </xdr:to>
    <xdr:graphicFrame macro="">
      <xdr:nvGraphicFramePr>
        <xdr:cNvPr id="21" name="Chart 25">
          <a:extLst>
            <a:ext uri="{FF2B5EF4-FFF2-40B4-BE49-F238E27FC236}">
              <a16:creationId xmlns:a16="http://schemas.microsoft.com/office/drawing/2014/main" id="{39F05760-0C5D-4596-ADC4-3AB43DD981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</xdr:col>
      <xdr:colOff>600075</xdr:colOff>
      <xdr:row>63</xdr:row>
      <xdr:rowOff>3175</xdr:rowOff>
    </xdr:from>
    <xdr:to>
      <xdr:col>24</xdr:col>
      <xdr:colOff>597027</xdr:colOff>
      <xdr:row>78</xdr:row>
      <xdr:rowOff>6223</xdr:rowOff>
    </xdr:to>
    <xdr:graphicFrame macro="">
      <xdr:nvGraphicFramePr>
        <xdr:cNvPr id="22" name="Chart 26">
          <a:extLst>
            <a:ext uri="{FF2B5EF4-FFF2-40B4-BE49-F238E27FC236}">
              <a16:creationId xmlns:a16="http://schemas.microsoft.com/office/drawing/2014/main" id="{4F66F578-15C9-4971-B847-687519375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24</xdr:col>
      <xdr:colOff>596900</xdr:colOff>
      <xdr:row>63</xdr:row>
      <xdr:rowOff>3175</xdr:rowOff>
    </xdr:from>
    <xdr:to>
      <xdr:col>32</xdr:col>
      <xdr:colOff>593852</xdr:colOff>
      <xdr:row>78</xdr:row>
      <xdr:rowOff>7747</xdr:rowOff>
    </xdr:to>
    <xdr:graphicFrame macro="">
      <xdr:nvGraphicFramePr>
        <xdr:cNvPr id="23" name="Chart 27">
          <a:extLst>
            <a:ext uri="{FF2B5EF4-FFF2-40B4-BE49-F238E27FC236}">
              <a16:creationId xmlns:a16="http://schemas.microsoft.com/office/drawing/2014/main" id="{9B0E1F60-275D-44CD-B39E-9476942B6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33</xdr:col>
      <xdr:colOff>3175</xdr:colOff>
      <xdr:row>63</xdr:row>
      <xdr:rowOff>3175</xdr:rowOff>
    </xdr:from>
    <xdr:to>
      <xdr:col>40</xdr:col>
      <xdr:colOff>605663</xdr:colOff>
      <xdr:row>78</xdr:row>
      <xdr:rowOff>7747</xdr:rowOff>
    </xdr:to>
    <xdr:graphicFrame macro="">
      <xdr:nvGraphicFramePr>
        <xdr:cNvPr id="24" name="Chart 28">
          <a:extLst>
            <a:ext uri="{FF2B5EF4-FFF2-40B4-BE49-F238E27FC236}">
              <a16:creationId xmlns:a16="http://schemas.microsoft.com/office/drawing/2014/main" id="{48104C7B-FC25-4E24-A0BF-F63BD9D6FA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41</xdr:col>
      <xdr:colOff>12700</xdr:colOff>
      <xdr:row>63</xdr:row>
      <xdr:rowOff>3175</xdr:rowOff>
    </xdr:from>
    <xdr:to>
      <xdr:col>49</xdr:col>
      <xdr:colOff>9652</xdr:colOff>
      <xdr:row>78</xdr:row>
      <xdr:rowOff>7747</xdr:rowOff>
    </xdr:to>
    <xdr:graphicFrame macro="">
      <xdr:nvGraphicFramePr>
        <xdr:cNvPr id="25" name="Chart 29">
          <a:extLst>
            <a:ext uri="{FF2B5EF4-FFF2-40B4-BE49-F238E27FC236}">
              <a16:creationId xmlns:a16="http://schemas.microsoft.com/office/drawing/2014/main" id="{68356F34-FE41-4952-84C3-99F9437F6E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84</xdr:row>
      <xdr:rowOff>0</xdr:rowOff>
    </xdr:from>
    <xdr:to>
      <xdr:col>8</xdr:col>
      <xdr:colOff>606552</xdr:colOff>
      <xdr:row>99</xdr:row>
      <xdr:rowOff>3048</xdr:rowOff>
    </xdr:to>
    <xdr:graphicFrame macro="">
      <xdr:nvGraphicFramePr>
        <xdr:cNvPr id="26" name="Chart 30">
          <a:extLst>
            <a:ext uri="{FF2B5EF4-FFF2-40B4-BE49-F238E27FC236}">
              <a16:creationId xmlns:a16="http://schemas.microsoft.com/office/drawing/2014/main" id="{DBF499DD-D377-498D-8DCE-B40D55DAA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9</xdr:col>
      <xdr:colOff>0</xdr:colOff>
      <xdr:row>84</xdr:row>
      <xdr:rowOff>0</xdr:rowOff>
    </xdr:from>
    <xdr:to>
      <xdr:col>16</xdr:col>
      <xdr:colOff>606552</xdr:colOff>
      <xdr:row>99</xdr:row>
      <xdr:rowOff>3048</xdr:rowOff>
    </xdr:to>
    <xdr:graphicFrame macro="">
      <xdr:nvGraphicFramePr>
        <xdr:cNvPr id="27" name="Chart 31">
          <a:extLst>
            <a:ext uri="{FF2B5EF4-FFF2-40B4-BE49-F238E27FC236}">
              <a16:creationId xmlns:a16="http://schemas.microsoft.com/office/drawing/2014/main" id="{C434B9B9-8C37-41D8-ABB5-FDF49D405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17</xdr:col>
      <xdr:colOff>0</xdr:colOff>
      <xdr:row>84</xdr:row>
      <xdr:rowOff>0</xdr:rowOff>
    </xdr:from>
    <xdr:to>
      <xdr:col>24</xdr:col>
      <xdr:colOff>606552</xdr:colOff>
      <xdr:row>99</xdr:row>
      <xdr:rowOff>3048</xdr:rowOff>
    </xdr:to>
    <xdr:graphicFrame macro="">
      <xdr:nvGraphicFramePr>
        <xdr:cNvPr id="28" name="Chart 32">
          <a:extLst>
            <a:ext uri="{FF2B5EF4-FFF2-40B4-BE49-F238E27FC236}">
              <a16:creationId xmlns:a16="http://schemas.microsoft.com/office/drawing/2014/main" id="{3FEC9120-1C43-400A-A27E-ED3643A10C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25</xdr:col>
      <xdr:colOff>0</xdr:colOff>
      <xdr:row>84</xdr:row>
      <xdr:rowOff>0</xdr:rowOff>
    </xdr:from>
    <xdr:to>
      <xdr:col>32</xdr:col>
      <xdr:colOff>606552</xdr:colOff>
      <xdr:row>99</xdr:row>
      <xdr:rowOff>3048</xdr:rowOff>
    </xdr:to>
    <xdr:graphicFrame macro="">
      <xdr:nvGraphicFramePr>
        <xdr:cNvPr id="29" name="Chart 33">
          <a:extLst>
            <a:ext uri="{FF2B5EF4-FFF2-40B4-BE49-F238E27FC236}">
              <a16:creationId xmlns:a16="http://schemas.microsoft.com/office/drawing/2014/main" id="{7F9F2899-7489-4D2E-94FF-171A0EDDE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33</xdr:col>
      <xdr:colOff>0</xdr:colOff>
      <xdr:row>84</xdr:row>
      <xdr:rowOff>0</xdr:rowOff>
    </xdr:from>
    <xdr:to>
      <xdr:col>40</xdr:col>
      <xdr:colOff>606552</xdr:colOff>
      <xdr:row>99</xdr:row>
      <xdr:rowOff>3048</xdr:rowOff>
    </xdr:to>
    <xdr:graphicFrame macro="">
      <xdr:nvGraphicFramePr>
        <xdr:cNvPr id="30" name="Chart 34">
          <a:extLst>
            <a:ext uri="{FF2B5EF4-FFF2-40B4-BE49-F238E27FC236}">
              <a16:creationId xmlns:a16="http://schemas.microsoft.com/office/drawing/2014/main" id="{5CF54C93-F3AD-431C-8A47-5DDFF8F383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41</xdr:col>
      <xdr:colOff>0</xdr:colOff>
      <xdr:row>84</xdr:row>
      <xdr:rowOff>0</xdr:rowOff>
    </xdr:from>
    <xdr:to>
      <xdr:col>48</xdr:col>
      <xdr:colOff>606552</xdr:colOff>
      <xdr:row>99</xdr:row>
      <xdr:rowOff>3048</xdr:rowOff>
    </xdr:to>
    <xdr:graphicFrame macro="">
      <xdr:nvGraphicFramePr>
        <xdr:cNvPr id="31" name="Chart 35">
          <a:extLst>
            <a:ext uri="{FF2B5EF4-FFF2-40B4-BE49-F238E27FC236}">
              <a16:creationId xmlns:a16="http://schemas.microsoft.com/office/drawing/2014/main" id="{4A3F8659-56F5-4C67-80C8-262FE1574A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106</xdr:row>
      <xdr:rowOff>0</xdr:rowOff>
    </xdr:from>
    <xdr:to>
      <xdr:col>8</xdr:col>
      <xdr:colOff>606552</xdr:colOff>
      <xdr:row>121</xdr:row>
      <xdr:rowOff>3048</xdr:rowOff>
    </xdr:to>
    <xdr:graphicFrame macro="">
      <xdr:nvGraphicFramePr>
        <xdr:cNvPr id="32" name="Chart 36">
          <a:extLst>
            <a:ext uri="{FF2B5EF4-FFF2-40B4-BE49-F238E27FC236}">
              <a16:creationId xmlns:a16="http://schemas.microsoft.com/office/drawing/2014/main" id="{BDFF00E6-BEF7-4017-88D7-140ABF8D7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</xdr:col>
      <xdr:colOff>0</xdr:colOff>
      <xdr:row>106</xdr:row>
      <xdr:rowOff>0</xdr:rowOff>
    </xdr:from>
    <xdr:to>
      <xdr:col>16</xdr:col>
      <xdr:colOff>606552</xdr:colOff>
      <xdr:row>121</xdr:row>
      <xdr:rowOff>3048</xdr:rowOff>
    </xdr:to>
    <xdr:graphicFrame macro="">
      <xdr:nvGraphicFramePr>
        <xdr:cNvPr id="33" name="Chart 37">
          <a:extLst>
            <a:ext uri="{FF2B5EF4-FFF2-40B4-BE49-F238E27FC236}">
              <a16:creationId xmlns:a16="http://schemas.microsoft.com/office/drawing/2014/main" id="{B1DD9BE7-07C0-4FA0-BF4C-98D111E455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17</xdr:col>
      <xdr:colOff>0</xdr:colOff>
      <xdr:row>106</xdr:row>
      <xdr:rowOff>0</xdr:rowOff>
    </xdr:from>
    <xdr:to>
      <xdr:col>24</xdr:col>
      <xdr:colOff>606552</xdr:colOff>
      <xdr:row>121</xdr:row>
      <xdr:rowOff>3048</xdr:rowOff>
    </xdr:to>
    <xdr:graphicFrame macro="">
      <xdr:nvGraphicFramePr>
        <xdr:cNvPr id="34" name="Chart 38">
          <a:extLst>
            <a:ext uri="{FF2B5EF4-FFF2-40B4-BE49-F238E27FC236}">
              <a16:creationId xmlns:a16="http://schemas.microsoft.com/office/drawing/2014/main" id="{6E59F1C0-BFED-49A3-80B8-F8EB740E52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25</xdr:col>
      <xdr:colOff>0</xdr:colOff>
      <xdr:row>106</xdr:row>
      <xdr:rowOff>0</xdr:rowOff>
    </xdr:from>
    <xdr:to>
      <xdr:col>32</xdr:col>
      <xdr:colOff>606552</xdr:colOff>
      <xdr:row>121</xdr:row>
      <xdr:rowOff>3048</xdr:rowOff>
    </xdr:to>
    <xdr:graphicFrame macro="">
      <xdr:nvGraphicFramePr>
        <xdr:cNvPr id="35" name="Chart 39">
          <a:extLst>
            <a:ext uri="{FF2B5EF4-FFF2-40B4-BE49-F238E27FC236}">
              <a16:creationId xmlns:a16="http://schemas.microsoft.com/office/drawing/2014/main" id="{46684752-C010-49A1-9F6B-09F8148E1C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33</xdr:col>
      <xdr:colOff>0</xdr:colOff>
      <xdr:row>106</xdr:row>
      <xdr:rowOff>0</xdr:rowOff>
    </xdr:from>
    <xdr:to>
      <xdr:col>40</xdr:col>
      <xdr:colOff>606552</xdr:colOff>
      <xdr:row>121</xdr:row>
      <xdr:rowOff>3048</xdr:rowOff>
    </xdr:to>
    <xdr:graphicFrame macro="">
      <xdr:nvGraphicFramePr>
        <xdr:cNvPr id="36" name="Chart 40">
          <a:extLst>
            <a:ext uri="{FF2B5EF4-FFF2-40B4-BE49-F238E27FC236}">
              <a16:creationId xmlns:a16="http://schemas.microsoft.com/office/drawing/2014/main" id="{CC6D8B0F-997E-4C43-A3AB-C1B49B10A1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41</xdr:col>
      <xdr:colOff>0</xdr:colOff>
      <xdr:row>106</xdr:row>
      <xdr:rowOff>0</xdr:rowOff>
    </xdr:from>
    <xdr:to>
      <xdr:col>48</xdr:col>
      <xdr:colOff>606552</xdr:colOff>
      <xdr:row>121</xdr:row>
      <xdr:rowOff>3048</xdr:rowOff>
    </xdr:to>
    <xdr:graphicFrame macro="">
      <xdr:nvGraphicFramePr>
        <xdr:cNvPr id="37" name="Chart 41">
          <a:extLst>
            <a:ext uri="{FF2B5EF4-FFF2-40B4-BE49-F238E27FC236}">
              <a16:creationId xmlns:a16="http://schemas.microsoft.com/office/drawing/2014/main" id="{54EFD085-4F0D-429A-9825-7E3A248C39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dandvamilk.sharepoint.com/sites/DemandPlanningTeam/Shared%20Documents/MDVA%20and%20Wegman's%20working%20document_2.xlsx" TargetMode="External"/><Relationship Id="rId1" Type="http://schemas.openxmlformats.org/officeDocument/2006/relationships/externalLinkPath" Target="https://mdandvamilk.sharepoint.com/sites/DemandPlanningTeam/Shared%20Documents/MDVA%20and%20Wegman's%20working%20document_2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awebera0\My%20Documents\CBU\Sep\Obs.%20QOS%20Graph092903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dandvamilk-my.sharepoint.com/WINDOWS/Temp/EGANGRPH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dandvamilk-my.sharepoint.com/Dean%20Foods/Corp%20FP&amp;A/Post%20MITO%20SGP%20Edgar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mdandvamilk-my.sharepoint.com/personal/agonzalez_mdvamilk_com/Documents/Desktop/Philly_Order%20Sheet_new_Alfredo_11-22-24.xlsx" TargetMode="External"/><Relationship Id="rId1" Type="http://schemas.openxmlformats.org/officeDocument/2006/relationships/externalLinkPath" Target="https://mdandvamilk-my.sharepoint.com/personal/agonzalez_mdvamilk_com/Documents/Desktop/Philly_Order%20Sheet_new_Alfredo_11-22-24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dandvamilk-my.sharepoint.com/North/CurrentFcst/Rollup%20Summary(North)v5.0.xlsb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H:\SHARED\PCOST\2024\PCost0324.xlsm" TargetMode="External"/><Relationship Id="rId1" Type="http://schemas.openxmlformats.org/officeDocument/2006/relationships/externalLinkPath" Target="file:///H:\SHARED\PCOST\2024\PCost03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 (2)"/>
      <sheetName val="Christmas schedule"/>
      <sheetName val="NYW"/>
      <sheetName val="Sheet1 (3)"/>
      <sheetName val="Analysis"/>
      <sheetName val="Daily Routes"/>
      <sheetName val="Detail1"/>
      <sheetName val="Daily Routes (2)"/>
      <sheetName val="Sheet1"/>
      <sheetName val="Logout"/>
      <sheetName val="Logout (2)"/>
      <sheetName val="Pivot (2)"/>
      <sheetName val="Pivot"/>
      <sheetName val="Sheet4"/>
      <sheetName val="Org by Upstate (2)"/>
      <sheetName val="Org by Upstate"/>
      <sheetName val="Staggered Start"/>
      <sheetName val="Wegmans EDI"/>
      <sheetName val="Wegmans Cross Dock"/>
      <sheetName val="Org Temp"/>
      <sheetName val="6 Week"/>
      <sheetName val="Trifecta"/>
      <sheetName val="Kraid Demo"/>
      <sheetName val="Customer  #'s"/>
      <sheetName val="Organic Hisroty"/>
      <sheetName val="Organic Volume"/>
      <sheetName val="Flow Chart"/>
      <sheetName val="CR - DCCI (2)"/>
      <sheetName val="Rollout and Delivery schedule"/>
      <sheetName val="Landover Product Assortment"/>
      <sheetName val="Contact List"/>
      <sheetName val="Store List"/>
      <sheetName val="Timeline"/>
      <sheetName val="Logistic info"/>
      <sheetName val="Finished Good Codes"/>
      <sheetName val="Logistic info (2)"/>
      <sheetName val="MDVA"/>
      <sheetName val="Sheet3"/>
      <sheetName val="Sheet2"/>
      <sheetName val="Avg Weekly"/>
      <sheetName val="Master Sheet"/>
      <sheetName val="Product Volume as Bid"/>
      <sheetName val="Store Map"/>
      <sheetName val="Product Volume 2 Plants"/>
      <sheetName val="Order Timeline"/>
      <sheetName val="Volume Detail by Region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163">
          <cell r="L1163">
            <v>111.0019047619046</v>
          </cell>
          <cell r="M1163">
            <v>31</v>
          </cell>
          <cell r="N1163">
            <v>11.997142857142876</v>
          </cell>
          <cell r="O1163">
            <v>23.004285714285743</v>
          </cell>
          <cell r="P1163">
            <v>66</v>
          </cell>
          <cell r="Q1163">
            <v>22.997142857142876</v>
          </cell>
        </row>
        <row r="1187">
          <cell r="L1187">
            <v>125.0019047619046</v>
          </cell>
          <cell r="M1187">
            <v>15</v>
          </cell>
          <cell r="N1187">
            <v>26.997142857142876</v>
          </cell>
          <cell r="O1187">
            <v>36.004285714285743</v>
          </cell>
          <cell r="P1187">
            <v>62</v>
          </cell>
          <cell r="Q1187">
            <v>35.997142857142876</v>
          </cell>
        </row>
        <row r="1211">
          <cell r="L1211">
            <v>159.0019047619046</v>
          </cell>
          <cell r="M1211">
            <v>73</v>
          </cell>
          <cell r="N1211">
            <v>20.997142857142876</v>
          </cell>
          <cell r="O1211">
            <v>30.004285714285743</v>
          </cell>
          <cell r="P1211">
            <v>42</v>
          </cell>
          <cell r="Q1211">
            <v>47.997142857142876</v>
          </cell>
        </row>
        <row r="1234">
          <cell r="L1234">
            <v>99</v>
          </cell>
          <cell r="M1234">
            <v>33</v>
          </cell>
          <cell r="N1234">
            <v>23</v>
          </cell>
          <cell r="O1234">
            <v>24</v>
          </cell>
          <cell r="P1234">
            <v>15</v>
          </cell>
          <cell r="Q1234">
            <v>20</v>
          </cell>
        </row>
        <row r="1235">
          <cell r="L1235">
            <v>194.0019047619046</v>
          </cell>
          <cell r="M1235">
            <v>166</v>
          </cell>
          <cell r="N1235">
            <v>-128.00285714285712</v>
          </cell>
          <cell r="O1235">
            <v>-127.99571428571426</v>
          </cell>
          <cell r="P1235">
            <v>67</v>
          </cell>
          <cell r="Q1235">
            <v>26.997142857142876</v>
          </cell>
        </row>
        <row r="1237">
          <cell r="L1237">
            <v>142</v>
          </cell>
          <cell r="M1237">
            <v>53</v>
          </cell>
          <cell r="N1237">
            <v>37</v>
          </cell>
          <cell r="O1237">
            <v>36</v>
          </cell>
          <cell r="P1237">
            <v>33</v>
          </cell>
          <cell r="Q1237">
            <v>20</v>
          </cell>
        </row>
        <row r="1243">
          <cell r="L1243">
            <v>90</v>
          </cell>
          <cell r="M1243">
            <v>39</v>
          </cell>
          <cell r="N1243">
            <v>0</v>
          </cell>
          <cell r="O1243">
            <v>1</v>
          </cell>
          <cell r="P1243">
            <v>18</v>
          </cell>
          <cell r="Q1243">
            <v>10</v>
          </cell>
        </row>
        <row r="1246">
          <cell r="L1246">
            <v>201</v>
          </cell>
          <cell r="M1246">
            <v>121</v>
          </cell>
          <cell r="N1246">
            <v>0</v>
          </cell>
          <cell r="O1246">
            <v>0</v>
          </cell>
          <cell r="P1246">
            <v>33</v>
          </cell>
          <cell r="Q1246">
            <v>21</v>
          </cell>
        </row>
        <row r="1249">
          <cell r="L1249">
            <v>270</v>
          </cell>
          <cell r="M1249">
            <v>157</v>
          </cell>
          <cell r="N1249">
            <v>0</v>
          </cell>
          <cell r="O1249">
            <v>3</v>
          </cell>
          <cell r="P1249">
            <v>38</v>
          </cell>
          <cell r="Q1249">
            <v>27</v>
          </cell>
        </row>
        <row r="1255">
          <cell r="L1255">
            <v>317</v>
          </cell>
          <cell r="M1255">
            <v>206</v>
          </cell>
          <cell r="N1255">
            <v>0</v>
          </cell>
          <cell r="O1255">
            <v>0</v>
          </cell>
          <cell r="P1255">
            <v>76</v>
          </cell>
          <cell r="Q1255">
            <v>48</v>
          </cell>
        </row>
        <row r="1258">
          <cell r="L1258">
            <v>112</v>
          </cell>
          <cell r="M1258">
            <v>47</v>
          </cell>
          <cell r="N1258">
            <v>0</v>
          </cell>
          <cell r="O1258">
            <v>2</v>
          </cell>
          <cell r="P1258">
            <v>17</v>
          </cell>
          <cell r="Q1258">
            <v>14</v>
          </cell>
        </row>
        <row r="1259">
          <cell r="L1259">
            <v>300.0019047619046</v>
          </cell>
          <cell r="M1259">
            <v>136</v>
          </cell>
          <cell r="N1259">
            <v>-165.00285714285712</v>
          </cell>
          <cell r="O1259">
            <v>-169.99571428571426</v>
          </cell>
          <cell r="P1259">
            <v>41</v>
          </cell>
          <cell r="Q1259">
            <v>47.997142857142876</v>
          </cell>
        </row>
        <row r="1261">
          <cell r="L1261">
            <v>168</v>
          </cell>
          <cell r="M1261">
            <v>82</v>
          </cell>
          <cell r="N1261">
            <v>0</v>
          </cell>
          <cell r="O1261">
            <v>0</v>
          </cell>
          <cell r="P1261">
            <v>36</v>
          </cell>
          <cell r="Q1261">
            <v>21</v>
          </cell>
        </row>
        <row r="1267">
          <cell r="L1267">
            <v>70</v>
          </cell>
          <cell r="M1267">
            <v>57</v>
          </cell>
          <cell r="N1267">
            <v>0</v>
          </cell>
          <cell r="O1267">
            <v>1</v>
          </cell>
          <cell r="P1267">
            <v>15</v>
          </cell>
          <cell r="Q1267">
            <v>15</v>
          </cell>
        </row>
        <row r="1270">
          <cell r="L1270">
            <v>185</v>
          </cell>
          <cell r="M1270">
            <v>147</v>
          </cell>
          <cell r="N1270">
            <v>0</v>
          </cell>
          <cell r="O1270">
            <v>0</v>
          </cell>
          <cell r="P1270">
            <v>39</v>
          </cell>
          <cell r="Q1270">
            <v>29</v>
          </cell>
        </row>
        <row r="1273">
          <cell r="L1273">
            <v>202</v>
          </cell>
          <cell r="M1273">
            <v>226</v>
          </cell>
          <cell r="N1273">
            <v>0</v>
          </cell>
          <cell r="O1273">
            <v>3</v>
          </cell>
          <cell r="P1273">
            <v>60</v>
          </cell>
          <cell r="Q1273">
            <v>29</v>
          </cell>
        </row>
        <row r="1279">
          <cell r="L1279">
            <v>290</v>
          </cell>
          <cell r="M1279">
            <v>204</v>
          </cell>
          <cell r="N1279">
            <v>0</v>
          </cell>
          <cell r="O1279">
            <v>0</v>
          </cell>
          <cell r="P1279">
            <v>71</v>
          </cell>
          <cell r="Q1279">
            <v>37</v>
          </cell>
        </row>
        <row r="1282">
          <cell r="L1282">
            <v>127</v>
          </cell>
          <cell r="M1282">
            <v>68</v>
          </cell>
          <cell r="N1282">
            <v>0</v>
          </cell>
          <cell r="O1282">
            <v>0</v>
          </cell>
          <cell r="P1282">
            <v>30</v>
          </cell>
          <cell r="Q1282">
            <v>15</v>
          </cell>
        </row>
        <row r="1283">
          <cell r="L1283">
            <v>298.0019047619046</v>
          </cell>
          <cell r="M1283">
            <v>156</v>
          </cell>
          <cell r="N1283">
            <v>-165.00285714285712</v>
          </cell>
          <cell r="O1283">
            <v>-173.99571428571426</v>
          </cell>
          <cell r="P1283">
            <v>52</v>
          </cell>
          <cell r="Q1283">
            <v>63.997142857142876</v>
          </cell>
        </row>
        <row r="1285">
          <cell r="L1285">
            <v>169</v>
          </cell>
          <cell r="M1285">
            <v>76</v>
          </cell>
          <cell r="N1285">
            <v>0</v>
          </cell>
          <cell r="O1285">
            <v>0</v>
          </cell>
          <cell r="P1285">
            <v>22</v>
          </cell>
          <cell r="Q1285">
            <v>27</v>
          </cell>
        </row>
        <row r="1291">
          <cell r="L1291">
            <v>97</v>
          </cell>
          <cell r="M1291">
            <v>60</v>
          </cell>
          <cell r="N1291">
            <v>0</v>
          </cell>
          <cell r="O1291">
            <v>0</v>
          </cell>
          <cell r="P1291">
            <v>15</v>
          </cell>
          <cell r="Q1291">
            <v>18</v>
          </cell>
        </row>
        <row r="1294">
          <cell r="L1294">
            <v>155</v>
          </cell>
          <cell r="M1294">
            <v>125</v>
          </cell>
          <cell r="N1294">
            <v>0</v>
          </cell>
          <cell r="O1294">
            <v>0</v>
          </cell>
          <cell r="P1294">
            <v>17</v>
          </cell>
          <cell r="Q1294">
            <v>33</v>
          </cell>
        </row>
        <row r="1297">
          <cell r="L1297">
            <v>206</v>
          </cell>
          <cell r="M1297">
            <v>117</v>
          </cell>
          <cell r="N1297">
            <v>0</v>
          </cell>
          <cell r="O1297">
            <v>0</v>
          </cell>
          <cell r="P1297">
            <v>37</v>
          </cell>
          <cell r="Q1297">
            <v>38</v>
          </cell>
        </row>
        <row r="1303">
          <cell r="L1303">
            <v>335</v>
          </cell>
          <cell r="M1303">
            <v>190</v>
          </cell>
          <cell r="N1303">
            <v>0</v>
          </cell>
          <cell r="O1303">
            <v>0</v>
          </cell>
          <cell r="P1303">
            <v>84</v>
          </cell>
          <cell r="Q1303">
            <v>55</v>
          </cell>
        </row>
        <row r="1306">
          <cell r="L1306">
            <v>115</v>
          </cell>
          <cell r="M1306">
            <v>61</v>
          </cell>
          <cell r="N1306">
            <v>0</v>
          </cell>
          <cell r="O1306">
            <v>0</v>
          </cell>
          <cell r="P1306">
            <v>18</v>
          </cell>
          <cell r="Q1306">
            <v>16</v>
          </cell>
        </row>
        <row r="1309">
          <cell r="L1309">
            <v>151</v>
          </cell>
          <cell r="M1309">
            <v>83</v>
          </cell>
          <cell r="N1309">
            <v>0</v>
          </cell>
          <cell r="O1309">
            <v>0</v>
          </cell>
          <cell r="P1309">
            <v>32</v>
          </cell>
          <cell r="Q1309">
            <v>18</v>
          </cell>
        </row>
        <row r="1315">
          <cell r="L1315">
            <v>78</v>
          </cell>
          <cell r="M1315">
            <v>38</v>
          </cell>
          <cell r="N1315">
            <v>0</v>
          </cell>
          <cell r="O1315">
            <v>0</v>
          </cell>
          <cell r="P1315">
            <v>19</v>
          </cell>
          <cell r="Q1315">
            <v>7</v>
          </cell>
        </row>
        <row r="1318">
          <cell r="L1318">
            <v>178</v>
          </cell>
          <cell r="M1318">
            <v>158</v>
          </cell>
          <cell r="N1318">
            <v>0</v>
          </cell>
          <cell r="O1318">
            <v>0</v>
          </cell>
          <cell r="P1318">
            <v>47</v>
          </cell>
          <cell r="Q1318">
            <v>39</v>
          </cell>
        </row>
        <row r="1321">
          <cell r="L1321">
            <v>209</v>
          </cell>
          <cell r="M1321">
            <v>148</v>
          </cell>
          <cell r="N1321">
            <v>0</v>
          </cell>
          <cell r="O1321">
            <v>2</v>
          </cell>
          <cell r="P1321">
            <v>54</v>
          </cell>
          <cell r="Q1321">
            <v>37</v>
          </cell>
        </row>
        <row r="1327">
          <cell r="L1327">
            <v>315</v>
          </cell>
          <cell r="M1327">
            <v>218</v>
          </cell>
          <cell r="N1327">
            <v>0</v>
          </cell>
          <cell r="O1327">
            <v>0</v>
          </cell>
          <cell r="P1327">
            <v>60</v>
          </cell>
          <cell r="Q1327">
            <v>51</v>
          </cell>
        </row>
        <row r="1330">
          <cell r="L1330">
            <v>145</v>
          </cell>
          <cell r="M1330">
            <v>50</v>
          </cell>
          <cell r="N1330">
            <v>0</v>
          </cell>
          <cell r="O1330">
            <v>1</v>
          </cell>
          <cell r="P1330">
            <v>21</v>
          </cell>
          <cell r="Q1330">
            <v>14</v>
          </cell>
        </row>
        <row r="1333">
          <cell r="L1333">
            <v>133</v>
          </cell>
          <cell r="M1333">
            <v>83</v>
          </cell>
          <cell r="N1333">
            <v>0</v>
          </cell>
          <cell r="O1333">
            <v>0</v>
          </cell>
          <cell r="P1333">
            <v>27</v>
          </cell>
          <cell r="Q1333">
            <v>26</v>
          </cell>
        </row>
        <row r="1339">
          <cell r="L1339">
            <v>91</v>
          </cell>
          <cell r="M1339">
            <v>47</v>
          </cell>
          <cell r="N1339">
            <v>0</v>
          </cell>
          <cell r="O1339">
            <v>0</v>
          </cell>
          <cell r="P1339">
            <v>28</v>
          </cell>
          <cell r="Q1339">
            <v>17</v>
          </cell>
        </row>
        <row r="1342">
          <cell r="L1342">
            <v>160</v>
          </cell>
          <cell r="M1342">
            <v>139</v>
          </cell>
          <cell r="N1342">
            <v>0</v>
          </cell>
          <cell r="O1342">
            <v>0</v>
          </cell>
          <cell r="P1342">
            <v>47</v>
          </cell>
          <cell r="Q1342">
            <v>32</v>
          </cell>
        </row>
        <row r="1345">
          <cell r="L1345">
            <v>206</v>
          </cell>
          <cell r="M1345">
            <v>143</v>
          </cell>
          <cell r="N1345">
            <v>0</v>
          </cell>
          <cell r="O1345">
            <v>0</v>
          </cell>
          <cell r="P1345">
            <v>46</v>
          </cell>
          <cell r="Q1345">
            <v>39</v>
          </cell>
        </row>
        <row r="1351">
          <cell r="L1351">
            <v>334</v>
          </cell>
          <cell r="M1351">
            <v>189</v>
          </cell>
          <cell r="N1351">
            <v>0</v>
          </cell>
          <cell r="O1351">
            <v>0</v>
          </cell>
          <cell r="P1351">
            <v>64</v>
          </cell>
          <cell r="Q1351">
            <v>49</v>
          </cell>
        </row>
        <row r="1354">
          <cell r="L1354">
            <v>126</v>
          </cell>
          <cell r="M1354">
            <v>69</v>
          </cell>
          <cell r="N1354">
            <v>0</v>
          </cell>
          <cell r="O1354">
            <v>0</v>
          </cell>
          <cell r="P1354">
            <v>22</v>
          </cell>
          <cell r="Q1354">
            <v>12</v>
          </cell>
        </row>
        <row r="1357">
          <cell r="L1357">
            <v>180</v>
          </cell>
          <cell r="M1357">
            <v>68</v>
          </cell>
          <cell r="N1357">
            <v>0</v>
          </cell>
          <cell r="O1357">
            <v>0</v>
          </cell>
          <cell r="P1357">
            <v>42</v>
          </cell>
          <cell r="Q1357">
            <v>25</v>
          </cell>
        </row>
        <row r="1363">
          <cell r="L1363">
            <v>79</v>
          </cell>
          <cell r="M1363">
            <v>43</v>
          </cell>
          <cell r="N1363">
            <v>0</v>
          </cell>
          <cell r="O1363">
            <v>0</v>
          </cell>
          <cell r="P1363">
            <v>19</v>
          </cell>
          <cell r="Q1363">
            <v>11</v>
          </cell>
        </row>
        <row r="1366">
          <cell r="L1366">
            <v>189</v>
          </cell>
          <cell r="M1366">
            <v>118</v>
          </cell>
          <cell r="N1366">
            <v>0</v>
          </cell>
          <cell r="O1366">
            <v>0</v>
          </cell>
          <cell r="P1366">
            <v>31</v>
          </cell>
          <cell r="Q1366">
            <v>27</v>
          </cell>
        </row>
        <row r="1369">
          <cell r="L1369">
            <v>219</v>
          </cell>
          <cell r="M1369">
            <v>145</v>
          </cell>
          <cell r="N1369">
            <v>0</v>
          </cell>
          <cell r="O1369">
            <v>1</v>
          </cell>
          <cell r="P1369">
            <v>48</v>
          </cell>
          <cell r="Q1369">
            <v>36</v>
          </cell>
        </row>
        <row r="1375">
          <cell r="L1375">
            <v>371</v>
          </cell>
          <cell r="M1375">
            <v>236</v>
          </cell>
          <cell r="N1375">
            <v>0</v>
          </cell>
          <cell r="O1375">
            <v>0</v>
          </cell>
          <cell r="P1375">
            <v>80</v>
          </cell>
          <cell r="Q1375">
            <v>47</v>
          </cell>
        </row>
      </sheetData>
      <sheetData sheetId="19"/>
      <sheetData sheetId="20">
        <row r="1">
          <cell r="E1" t="str">
            <v>HVD Gal</v>
          </cell>
          <cell r="F1" t="str">
            <v>2% Gal</v>
          </cell>
          <cell r="G1" t="str">
            <v>1% Gal</v>
          </cell>
          <cell r="H1" t="str">
            <v>FF Gal</v>
          </cell>
          <cell r="I1" t="str">
            <v>HVD HG</v>
          </cell>
          <cell r="J1" t="str">
            <v>2% HG</v>
          </cell>
          <cell r="U1" t="str">
            <v>HVD Gal</v>
          </cell>
          <cell r="V1" t="str">
            <v>2% Gal</v>
          </cell>
          <cell r="W1" t="str">
            <v>1% Gal</v>
          </cell>
          <cell r="X1" t="str">
            <v>FF Gal</v>
          </cell>
          <cell r="Y1" t="str">
            <v>HVD HG</v>
          </cell>
          <cell r="Z1" t="str">
            <v>2% HG</v>
          </cell>
          <cell r="AK1" t="str">
            <v>HVD Gal</v>
          </cell>
          <cell r="AL1" t="str">
            <v>2% Gal</v>
          </cell>
          <cell r="AM1" t="str">
            <v>1% Gal</v>
          </cell>
          <cell r="AN1" t="str">
            <v>FF Gal</v>
          </cell>
          <cell r="AO1" t="str">
            <v>HVD HG</v>
          </cell>
          <cell r="AP1" t="str">
            <v>2% HG</v>
          </cell>
          <cell r="BA1" t="str">
            <v>HVD Gal</v>
          </cell>
          <cell r="BB1" t="str">
            <v>2% Gal</v>
          </cell>
          <cell r="BC1" t="str">
            <v>1% Gal</v>
          </cell>
          <cell r="BD1" t="str">
            <v>FF Gal</v>
          </cell>
          <cell r="BE1" t="str">
            <v>HVD HG</v>
          </cell>
          <cell r="BF1" t="str">
            <v>2% HG</v>
          </cell>
          <cell r="BQ1" t="str">
            <v>HVD Gal</v>
          </cell>
          <cell r="BR1" t="str">
            <v>2% Gal</v>
          </cell>
          <cell r="BS1" t="str">
            <v>1% Gal</v>
          </cell>
          <cell r="BT1" t="str">
            <v>FF Gal</v>
          </cell>
          <cell r="BU1" t="str">
            <v>HVD HG</v>
          </cell>
          <cell r="BV1" t="str">
            <v>2% HG</v>
          </cell>
          <cell r="CG1" t="str">
            <v>HVD Gal</v>
          </cell>
          <cell r="CH1" t="str">
            <v>2% Gal</v>
          </cell>
          <cell r="CI1" t="str">
            <v>1% Gal</v>
          </cell>
          <cell r="CJ1" t="str">
            <v>FF Gal</v>
          </cell>
          <cell r="CK1" t="str">
            <v>HVD HG</v>
          </cell>
          <cell r="CL1" t="str">
            <v>2% HG</v>
          </cell>
        </row>
        <row r="2">
          <cell r="E2">
            <v>99</v>
          </cell>
          <cell r="F2">
            <v>33</v>
          </cell>
          <cell r="G2">
            <v>23</v>
          </cell>
          <cell r="H2">
            <v>24</v>
          </cell>
          <cell r="I2">
            <v>15</v>
          </cell>
          <cell r="J2">
            <v>20</v>
          </cell>
          <cell r="U2">
            <v>142</v>
          </cell>
          <cell r="V2">
            <v>53</v>
          </cell>
          <cell r="W2">
            <v>37</v>
          </cell>
          <cell r="X2">
            <v>36</v>
          </cell>
          <cell r="Y2">
            <v>33</v>
          </cell>
          <cell r="Z2">
            <v>20</v>
          </cell>
          <cell r="AK2">
            <v>90</v>
          </cell>
          <cell r="AL2">
            <v>39</v>
          </cell>
          <cell r="AM2">
            <v>0</v>
          </cell>
          <cell r="AN2">
            <v>1</v>
          </cell>
          <cell r="AO2">
            <v>18</v>
          </cell>
          <cell r="AP2">
            <v>10</v>
          </cell>
          <cell r="BA2">
            <v>201</v>
          </cell>
          <cell r="BB2">
            <v>121</v>
          </cell>
          <cell r="BC2">
            <v>0</v>
          </cell>
          <cell r="BD2">
            <v>0</v>
          </cell>
          <cell r="BE2">
            <v>33</v>
          </cell>
          <cell r="BF2">
            <v>21</v>
          </cell>
          <cell r="BQ2">
            <v>270</v>
          </cell>
          <cell r="BR2">
            <v>157</v>
          </cell>
          <cell r="BS2">
            <v>0</v>
          </cell>
          <cell r="BT2">
            <v>3</v>
          </cell>
          <cell r="BU2">
            <v>38</v>
          </cell>
          <cell r="BV2">
            <v>27</v>
          </cell>
          <cell r="CG2">
            <v>317</v>
          </cell>
          <cell r="CH2">
            <v>206</v>
          </cell>
          <cell r="CI2">
            <v>0</v>
          </cell>
          <cell r="CJ2">
            <v>0</v>
          </cell>
          <cell r="CK2">
            <v>76</v>
          </cell>
          <cell r="CL2">
            <v>48</v>
          </cell>
        </row>
        <row r="3">
          <cell r="E3">
            <v>112</v>
          </cell>
          <cell r="F3">
            <v>47</v>
          </cell>
          <cell r="G3">
            <v>0</v>
          </cell>
          <cell r="H3">
            <v>2</v>
          </cell>
          <cell r="I3">
            <v>17</v>
          </cell>
          <cell r="J3">
            <v>14</v>
          </cell>
          <cell r="U3">
            <v>168</v>
          </cell>
          <cell r="V3">
            <v>82</v>
          </cell>
          <cell r="W3">
            <v>0</v>
          </cell>
          <cell r="X3">
            <v>0</v>
          </cell>
          <cell r="Y3">
            <v>36</v>
          </cell>
          <cell r="Z3">
            <v>21</v>
          </cell>
          <cell r="AK3">
            <v>70</v>
          </cell>
          <cell r="AL3">
            <v>57</v>
          </cell>
          <cell r="AM3">
            <v>0</v>
          </cell>
          <cell r="AN3">
            <v>1</v>
          </cell>
          <cell r="AO3">
            <v>15</v>
          </cell>
          <cell r="AP3">
            <v>15</v>
          </cell>
          <cell r="BA3">
            <v>185</v>
          </cell>
          <cell r="BB3">
            <v>147</v>
          </cell>
          <cell r="BC3">
            <v>0</v>
          </cell>
          <cell r="BD3">
            <v>0</v>
          </cell>
          <cell r="BE3">
            <v>39</v>
          </cell>
          <cell r="BF3">
            <v>29</v>
          </cell>
          <cell r="BQ3">
            <v>202</v>
          </cell>
          <cell r="BR3">
            <v>226</v>
          </cell>
          <cell r="BS3">
            <v>0</v>
          </cell>
          <cell r="BT3">
            <v>3</v>
          </cell>
          <cell r="BU3">
            <v>60</v>
          </cell>
          <cell r="BV3">
            <v>29</v>
          </cell>
          <cell r="CG3">
            <v>290</v>
          </cell>
          <cell r="CH3">
            <v>204</v>
          </cell>
          <cell r="CI3">
            <v>0</v>
          </cell>
          <cell r="CJ3">
            <v>0</v>
          </cell>
          <cell r="CK3">
            <v>71</v>
          </cell>
          <cell r="CL3">
            <v>37</v>
          </cell>
        </row>
        <row r="4">
          <cell r="E4">
            <v>127</v>
          </cell>
          <cell r="F4">
            <v>68</v>
          </cell>
          <cell r="G4">
            <v>0</v>
          </cell>
          <cell r="H4">
            <v>0</v>
          </cell>
          <cell r="I4">
            <v>30</v>
          </cell>
          <cell r="J4">
            <v>15</v>
          </cell>
          <cell r="U4">
            <v>169</v>
          </cell>
          <cell r="V4">
            <v>76</v>
          </cell>
          <cell r="W4">
            <v>0</v>
          </cell>
          <cell r="X4">
            <v>0</v>
          </cell>
          <cell r="Y4">
            <v>22</v>
          </cell>
          <cell r="Z4">
            <v>27</v>
          </cell>
          <cell r="AK4">
            <v>97</v>
          </cell>
          <cell r="AL4">
            <v>60</v>
          </cell>
          <cell r="AM4">
            <v>0</v>
          </cell>
          <cell r="AN4">
            <v>0</v>
          </cell>
          <cell r="AO4">
            <v>15</v>
          </cell>
          <cell r="AP4">
            <v>18</v>
          </cell>
          <cell r="BA4">
            <v>155</v>
          </cell>
          <cell r="BB4">
            <v>125</v>
          </cell>
          <cell r="BC4">
            <v>0</v>
          </cell>
          <cell r="BD4">
            <v>0</v>
          </cell>
          <cell r="BE4">
            <v>17</v>
          </cell>
          <cell r="BF4">
            <v>33</v>
          </cell>
          <cell r="BQ4">
            <v>206</v>
          </cell>
          <cell r="BR4">
            <v>117</v>
          </cell>
          <cell r="BS4">
            <v>0</v>
          </cell>
          <cell r="BT4">
            <v>0</v>
          </cell>
          <cell r="BU4">
            <v>37</v>
          </cell>
          <cell r="BV4">
            <v>38</v>
          </cell>
          <cell r="CG4">
            <v>335</v>
          </cell>
          <cell r="CH4">
            <v>190</v>
          </cell>
          <cell r="CI4">
            <v>0</v>
          </cell>
          <cell r="CJ4">
            <v>0</v>
          </cell>
          <cell r="CK4">
            <v>84</v>
          </cell>
          <cell r="CL4">
            <v>55</v>
          </cell>
        </row>
        <row r="5">
          <cell r="E5">
            <v>115</v>
          </cell>
          <cell r="F5">
            <v>61</v>
          </cell>
          <cell r="G5">
            <v>0</v>
          </cell>
          <cell r="H5">
            <v>0</v>
          </cell>
          <cell r="I5">
            <v>18</v>
          </cell>
          <cell r="J5">
            <v>16</v>
          </cell>
          <cell r="U5">
            <v>151</v>
          </cell>
          <cell r="V5">
            <v>83</v>
          </cell>
          <cell r="W5">
            <v>0</v>
          </cell>
          <cell r="X5">
            <v>0</v>
          </cell>
          <cell r="Y5">
            <v>32</v>
          </cell>
          <cell r="Z5">
            <v>18</v>
          </cell>
          <cell r="AK5">
            <v>78</v>
          </cell>
          <cell r="AL5">
            <v>38</v>
          </cell>
          <cell r="AM5">
            <v>0</v>
          </cell>
          <cell r="AN5">
            <v>0</v>
          </cell>
          <cell r="AO5">
            <v>19</v>
          </cell>
          <cell r="AP5">
            <v>7</v>
          </cell>
          <cell r="BA5">
            <v>178</v>
          </cell>
          <cell r="BB5">
            <v>158</v>
          </cell>
          <cell r="BC5">
            <v>0</v>
          </cell>
          <cell r="BD5">
            <v>0</v>
          </cell>
          <cell r="BE5">
            <v>47</v>
          </cell>
          <cell r="BF5">
            <v>39</v>
          </cell>
          <cell r="BQ5">
            <v>209</v>
          </cell>
          <cell r="BR5">
            <v>148</v>
          </cell>
          <cell r="BS5">
            <v>0</v>
          </cell>
          <cell r="BT5">
            <v>2</v>
          </cell>
          <cell r="BU5">
            <v>54</v>
          </cell>
          <cell r="BV5">
            <v>37</v>
          </cell>
          <cell r="CG5">
            <v>315</v>
          </cell>
          <cell r="CH5">
            <v>218</v>
          </cell>
          <cell r="CI5">
            <v>0</v>
          </cell>
          <cell r="CJ5">
            <v>0</v>
          </cell>
          <cell r="CK5">
            <v>60</v>
          </cell>
          <cell r="CL5">
            <v>51</v>
          </cell>
        </row>
        <row r="6">
          <cell r="E6">
            <v>145</v>
          </cell>
          <cell r="F6">
            <v>50</v>
          </cell>
          <cell r="G6">
            <v>0</v>
          </cell>
          <cell r="H6">
            <v>1</v>
          </cell>
          <cell r="I6">
            <v>21</v>
          </cell>
          <cell r="J6">
            <v>14</v>
          </cell>
          <cell r="U6">
            <v>133</v>
          </cell>
          <cell r="V6">
            <v>83</v>
          </cell>
          <cell r="W6">
            <v>0</v>
          </cell>
          <cell r="X6">
            <v>0</v>
          </cell>
          <cell r="Y6">
            <v>27</v>
          </cell>
          <cell r="Z6">
            <v>26</v>
          </cell>
          <cell r="AK6">
            <v>91</v>
          </cell>
          <cell r="AL6">
            <v>47</v>
          </cell>
          <cell r="AM6">
            <v>0</v>
          </cell>
          <cell r="AN6">
            <v>0</v>
          </cell>
          <cell r="AO6">
            <v>28</v>
          </cell>
          <cell r="AP6">
            <v>17</v>
          </cell>
          <cell r="BA6">
            <v>160</v>
          </cell>
          <cell r="BB6">
            <v>139</v>
          </cell>
          <cell r="BC6">
            <v>0</v>
          </cell>
          <cell r="BD6">
            <v>0</v>
          </cell>
          <cell r="BE6">
            <v>47</v>
          </cell>
          <cell r="BF6">
            <v>32</v>
          </cell>
          <cell r="BQ6">
            <v>206</v>
          </cell>
          <cell r="BR6">
            <v>143</v>
          </cell>
          <cell r="BS6">
            <v>0</v>
          </cell>
          <cell r="BT6">
            <v>0</v>
          </cell>
          <cell r="BU6">
            <v>46</v>
          </cell>
          <cell r="BV6">
            <v>39</v>
          </cell>
          <cell r="CG6">
            <v>334</v>
          </cell>
          <cell r="CH6">
            <v>189</v>
          </cell>
          <cell r="CI6">
            <v>0</v>
          </cell>
          <cell r="CJ6">
            <v>0</v>
          </cell>
          <cell r="CK6">
            <v>64</v>
          </cell>
          <cell r="CL6">
            <v>49</v>
          </cell>
        </row>
        <row r="7">
          <cell r="E7">
            <v>126</v>
          </cell>
          <cell r="F7">
            <v>69</v>
          </cell>
          <cell r="G7">
            <v>0</v>
          </cell>
          <cell r="H7">
            <v>0</v>
          </cell>
          <cell r="I7">
            <v>22</v>
          </cell>
          <cell r="J7">
            <v>12</v>
          </cell>
          <cell r="U7">
            <v>180</v>
          </cell>
          <cell r="V7">
            <v>68</v>
          </cell>
          <cell r="W7">
            <v>0</v>
          </cell>
          <cell r="X7">
            <v>0</v>
          </cell>
          <cell r="Y7">
            <v>42</v>
          </cell>
          <cell r="Z7">
            <v>25</v>
          </cell>
          <cell r="AK7">
            <v>79</v>
          </cell>
          <cell r="AL7">
            <v>43</v>
          </cell>
          <cell r="AM7">
            <v>0</v>
          </cell>
          <cell r="AN7">
            <v>0</v>
          </cell>
          <cell r="AO7">
            <v>19</v>
          </cell>
          <cell r="AP7">
            <v>11</v>
          </cell>
          <cell r="BA7">
            <v>189</v>
          </cell>
          <cell r="BB7">
            <v>118</v>
          </cell>
          <cell r="BC7">
            <v>0</v>
          </cell>
          <cell r="BD7">
            <v>0</v>
          </cell>
          <cell r="BE7">
            <v>31</v>
          </cell>
          <cell r="BF7">
            <v>27</v>
          </cell>
          <cell r="BQ7">
            <v>219</v>
          </cell>
          <cell r="BR7">
            <v>145</v>
          </cell>
          <cell r="BS7">
            <v>0</v>
          </cell>
          <cell r="BT7">
            <v>1</v>
          </cell>
          <cell r="BU7">
            <v>48</v>
          </cell>
          <cell r="BV7">
            <v>36</v>
          </cell>
          <cell r="CG7">
            <v>371</v>
          </cell>
          <cell r="CH7">
            <v>236</v>
          </cell>
          <cell r="CI7">
            <v>0</v>
          </cell>
          <cell r="CJ7">
            <v>0</v>
          </cell>
          <cell r="CK7">
            <v>80</v>
          </cell>
          <cell r="CL7">
            <v>47</v>
          </cell>
        </row>
        <row r="8">
          <cell r="E8">
            <v>120.66666666666667</v>
          </cell>
          <cell r="F8">
            <v>54.666666666666664</v>
          </cell>
          <cell r="G8">
            <v>3.8333333333333335</v>
          </cell>
          <cell r="H8">
            <v>4.5</v>
          </cell>
          <cell r="I8">
            <v>20.5</v>
          </cell>
          <cell r="J8">
            <v>15.166666666666666</v>
          </cell>
          <cell r="U8">
            <v>157.16666666666666</v>
          </cell>
          <cell r="V8">
            <v>74.166666666666671</v>
          </cell>
          <cell r="W8">
            <v>6.166666666666667</v>
          </cell>
          <cell r="X8">
            <v>6</v>
          </cell>
          <cell r="Y8">
            <v>32</v>
          </cell>
          <cell r="Z8">
            <v>22.833333333333332</v>
          </cell>
          <cell r="AK8">
            <v>84.166666666666671</v>
          </cell>
          <cell r="AL8">
            <v>47.333333333333336</v>
          </cell>
          <cell r="AM8">
            <v>0</v>
          </cell>
          <cell r="AN8">
            <v>0.33333333333333331</v>
          </cell>
          <cell r="AO8">
            <v>19</v>
          </cell>
          <cell r="AP8">
            <v>13</v>
          </cell>
          <cell r="BA8">
            <v>178</v>
          </cell>
          <cell r="BB8">
            <v>134.66666666666666</v>
          </cell>
          <cell r="BC8">
            <v>0</v>
          </cell>
          <cell r="BD8">
            <v>0</v>
          </cell>
          <cell r="BE8">
            <v>35.666666666666664</v>
          </cell>
          <cell r="BF8">
            <v>30.166666666666668</v>
          </cell>
          <cell r="BQ8">
            <v>218.66666666666666</v>
          </cell>
          <cell r="BR8">
            <v>156</v>
          </cell>
          <cell r="BS8">
            <v>0</v>
          </cell>
          <cell r="BT8">
            <v>1.5</v>
          </cell>
          <cell r="BU8">
            <v>47.166666666666664</v>
          </cell>
          <cell r="BV8">
            <v>34.333333333333336</v>
          </cell>
          <cell r="CG8">
            <v>327</v>
          </cell>
          <cell r="CH8">
            <v>207.16666666666666</v>
          </cell>
          <cell r="CI8">
            <v>0</v>
          </cell>
          <cell r="CJ8">
            <v>0</v>
          </cell>
          <cell r="CK8">
            <v>72.5</v>
          </cell>
          <cell r="CL8">
            <v>47.833333333333336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OS Graph"/>
      <sheetName val="Plant Claims Detail"/>
      <sheetName val="BU Summary Data"/>
      <sheetName val="Claim Summary"/>
      <sheetName val="Closed Claims"/>
      <sheetName val="Lists"/>
      <sheetName val="Pricing Status Items"/>
      <sheetName val="Div_Location"/>
    </sheetNames>
    <sheetDataSet>
      <sheetData sheetId="0" refreshError="1"/>
      <sheetData sheetId="1" refreshError="1"/>
      <sheetData sheetId="2" refreshError="1">
        <row r="5">
          <cell r="C5" t="str">
            <v>OCT</v>
          </cell>
          <cell r="D5" t="str">
            <v>NOV</v>
          </cell>
          <cell r="E5" t="str">
            <v>DEC</v>
          </cell>
          <cell r="F5" t="str">
            <v>JAN</v>
          </cell>
          <cell r="G5" t="str">
            <v>FEB</v>
          </cell>
          <cell r="H5" t="str">
            <v>MAR</v>
          </cell>
          <cell r="I5" t="str">
            <v>APR</v>
          </cell>
          <cell r="J5" t="str">
            <v>MAY</v>
          </cell>
          <cell r="K5" t="str">
            <v>JUN</v>
          </cell>
          <cell r="L5" t="str">
            <v>JUL</v>
          </cell>
          <cell r="M5" t="str">
            <v>AUG</v>
          </cell>
          <cell r="N5" t="str">
            <v>SEPT</v>
          </cell>
          <cell r="O5" t="str">
            <v>YTD Avg.</v>
          </cell>
        </row>
        <row r="19">
          <cell r="C19">
            <v>60839</v>
          </cell>
          <cell r="D19">
            <v>60839</v>
          </cell>
          <cell r="E19">
            <v>60839</v>
          </cell>
          <cell r="F19">
            <v>60839</v>
          </cell>
          <cell r="G19">
            <v>60839</v>
          </cell>
          <cell r="H19">
            <v>60839</v>
          </cell>
          <cell r="I19">
            <v>60839</v>
          </cell>
          <cell r="J19">
            <v>60839</v>
          </cell>
          <cell r="K19">
            <v>60839</v>
          </cell>
          <cell r="L19">
            <v>0</v>
          </cell>
          <cell r="M19">
            <v>0</v>
          </cell>
          <cell r="N19">
            <v>67000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wandpak"/>
      <sheetName val="3pool"/>
      <sheetName val="Tables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I Restated"/>
      <sheetName val="2013"/>
      <sheetName val="Post Mito Corp Cost Rec to BU3"/>
      <sheetName val="MODEL Updated to Post Mito Cyto"/>
      <sheetName val="Post Mito Algo"/>
      <sheetName val="WW-Alpro Stand Alone"/>
      <sheetName val="FDD-MS Stand Alone"/>
      <sheetName val="FDD Stand Alone"/>
      <sheetName val="Post Mito Corp Co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eekly Demand Plan"/>
      <sheetName val="SAP CHECKLIST"/>
      <sheetName val="Master (2)"/>
      <sheetName val="MM"/>
      <sheetName val="WDP_Before Actuals (2)"/>
      <sheetName val="SEG"/>
      <sheetName val="Master"/>
      <sheetName val="WDP_Before Actuals"/>
      <sheetName val="HD"/>
      <sheetName val="FL"/>
      <sheetName val="HF"/>
      <sheetName val="HT"/>
      <sheetName val="MB"/>
      <sheetName val="MA"/>
      <sheetName val="KS"/>
      <sheetName val="MA-B"/>
      <sheetName val="LI"/>
      <sheetName val="FM"/>
      <sheetName val="WG"/>
      <sheetName val="Cust Logout"/>
      <sheetName val="Farmland"/>
      <sheetName val="GV"/>
      <sheetName val="WA"/>
      <sheetName val="fcst_test"/>
      <sheetName val="FL DC-7-20 Holiday FL Creams"/>
      <sheetName val="FL Fcst_9-5"/>
      <sheetName val="MB-Fcst-2-21-24"/>
      <sheetName val="WDP_Before Actuals GAL"/>
      <sheetName val="Mon 3-11 Cuts"/>
      <sheetName val="Tuesday 3-12 Cuts_Pushout"/>
      <sheetName val="Wed 3-13_Cuts_Pushout"/>
      <sheetName val="Thurs 3-14_Cuts_Pushout"/>
      <sheetName val="Analysis"/>
      <sheetName val="Daily Routes"/>
      <sheetName val="Cust List"/>
      <sheetName val="Philly Details_T"/>
      <sheetName val="Philly Compliance_T"/>
      <sheetName val="Philly Inv-T"/>
      <sheetName val="Sheet1"/>
      <sheetName val="New Branded Item timeline"/>
      <sheetName val="Pricing "/>
      <sheetName val="Historical (2)"/>
      <sheetName val="PL Forecast_9-7"/>
      <sheetName val="Philly plant items;pat"/>
      <sheetName val="Hood Fcst_2-19-24"/>
      <sheetName val="PL Forecast-2-21-24"/>
      <sheetName val="264-2-22-24"/>
      <sheetName val="264-PROJ"/>
      <sheetName val="PL Forecast-2-21-24 (2)"/>
      <sheetName val="MB-Fcst-2-21-24 (2)"/>
      <sheetName val="MB Ship v. Fran forecast"/>
      <sheetName val="Philly Inv"/>
      <sheetName val="Philly Details"/>
      <sheetName val="PL_SKUS-Jan23-Sep23"/>
      <sheetName val="Philly Compliance"/>
      <sheetName val="Sheet10"/>
      <sheetName val="Sheet8"/>
      <sheetName val="avg by size"/>
      <sheetName val="Hood_Fcst_9-12"/>
      <sheetName val="FL fcast 1-18"/>
      <sheetName val="Hannford_FCST_9-12"/>
      <sheetName val="All FL-Hann Holiday Forecast "/>
      <sheetName val="Ahold Warehouse"/>
      <sheetName val="UP HG QT"/>
      <sheetName val="HWC H&amp;H"/>
      <sheetName val="Objectiv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Data"/>
      <sheetName val="RData"/>
      <sheetName val="Data(SDW)"/>
      <sheetName val="RData(SDW)"/>
      <sheetName val="Update"/>
      <sheetName val="Validation"/>
      <sheetName val="Comments"/>
      <sheetName val="Risks&amp;Opp"/>
      <sheetName val="P&amp;L"/>
      <sheetName val="P&amp;L(GrpTrend)"/>
      <sheetName val="P&amp;L(MktTrend)"/>
      <sheetName val="PCOC"/>
      <sheetName val="PCOC (Mkt)"/>
      <sheetName val="PCOC (Grp Trends)"/>
      <sheetName val="PCOC (Mkt Trends)"/>
      <sheetName val="Sheet1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ntry"/>
      <sheetName val="Markets"/>
      <sheetName val="Retail"/>
      <sheetName val="RawCostComp"/>
      <sheetName val="RawCostCalc"/>
      <sheetName val="Dock"/>
      <sheetName val="tbl_ClassIPrice"/>
      <sheetName val="Conversion"/>
      <sheetName val="Email"/>
      <sheetName val="RetailMin"/>
      <sheetName val="No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71E5D-69DE-4E2A-848C-193C41DB4750}">
  <sheetPr>
    <tabColor rgb="FFFF0000"/>
  </sheetPr>
  <dimension ref="B1:CR364"/>
  <sheetViews>
    <sheetView topLeftCell="B1" zoomScaleNormal="100" workbookViewId="0">
      <selection activeCell="C3" sqref="C3"/>
    </sheetView>
  </sheetViews>
  <sheetFormatPr defaultRowHeight="14.4" x14ac:dyDescent="0.3"/>
  <cols>
    <col min="1" max="1" width="0" hidden="1" customWidth="1"/>
    <col min="2" max="2" width="31.109375" bestFit="1" customWidth="1"/>
    <col min="4" max="4" width="10.33203125" bestFit="1" customWidth="1"/>
    <col min="11" max="15" width="8.88671875" customWidth="1"/>
    <col min="18" max="18" width="28.6640625" bestFit="1" customWidth="1"/>
    <col min="20" max="20" width="10.33203125" bestFit="1" customWidth="1"/>
    <col min="27" max="27" width="10.109375" bestFit="1" customWidth="1"/>
    <col min="34" max="34" width="28.6640625" bestFit="1" customWidth="1"/>
    <col min="36" max="36" width="10.33203125" bestFit="1" customWidth="1"/>
    <col min="50" max="50" width="28.6640625" bestFit="1" customWidth="1"/>
    <col min="52" max="52" width="10.33203125" bestFit="1" customWidth="1"/>
    <col min="66" max="66" width="28.6640625" bestFit="1" customWidth="1"/>
    <col min="68" max="68" width="10.33203125" bestFit="1" customWidth="1"/>
    <col min="82" max="82" width="28.6640625" bestFit="1" customWidth="1"/>
    <col min="84" max="84" width="10.33203125" bestFit="1" customWidth="1"/>
  </cols>
  <sheetData>
    <row r="1" spans="2:96" ht="14.4" customHeight="1" x14ac:dyDescent="0.3">
      <c r="B1" t="s">
        <v>0</v>
      </c>
      <c r="C1" s="1" t="s">
        <v>1</v>
      </c>
      <c r="D1" s="2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4" t="s">
        <v>9</v>
      </c>
      <c r="L1" s="4"/>
      <c r="M1" s="4"/>
      <c r="N1" s="4"/>
      <c r="O1" s="4"/>
      <c r="P1" s="4"/>
      <c r="Q1" s="5"/>
      <c r="R1" t="s">
        <v>0</v>
      </c>
      <c r="S1" s="1" t="s">
        <v>10</v>
      </c>
      <c r="T1" s="6" t="s">
        <v>11</v>
      </c>
      <c r="U1" s="7" t="s">
        <v>3</v>
      </c>
      <c r="V1" s="7" t="s">
        <v>4</v>
      </c>
      <c r="W1" s="7" t="s">
        <v>5</v>
      </c>
      <c r="X1" s="7" t="s">
        <v>6</v>
      </c>
      <c r="Y1" s="7" t="s">
        <v>7</v>
      </c>
      <c r="Z1" s="7" t="s">
        <v>8</v>
      </c>
      <c r="AA1" s="8" t="s">
        <v>9</v>
      </c>
      <c r="AB1" s="8"/>
      <c r="AC1" s="8"/>
      <c r="AD1" s="8"/>
      <c r="AE1" s="8"/>
      <c r="AF1" s="8"/>
      <c r="AG1" s="5"/>
      <c r="AH1" t="s">
        <v>0</v>
      </c>
      <c r="AI1" s="1" t="s">
        <v>12</v>
      </c>
      <c r="AJ1" s="9" t="s">
        <v>13</v>
      </c>
      <c r="AK1" s="3" t="s">
        <v>3</v>
      </c>
      <c r="AL1" s="3" t="s">
        <v>4</v>
      </c>
      <c r="AM1" s="3" t="s">
        <v>5</v>
      </c>
      <c r="AN1" s="3" t="s">
        <v>6</v>
      </c>
      <c r="AO1" s="3" t="s">
        <v>7</v>
      </c>
      <c r="AP1" s="3" t="s">
        <v>8</v>
      </c>
      <c r="AQ1" s="4" t="s">
        <v>9</v>
      </c>
      <c r="AR1" s="4"/>
      <c r="AS1" s="4"/>
      <c r="AT1" s="4"/>
      <c r="AU1" s="4"/>
      <c r="AV1" s="4"/>
      <c r="AW1" s="5"/>
      <c r="AX1" t="s">
        <v>0</v>
      </c>
      <c r="AY1" s="1" t="s">
        <v>14</v>
      </c>
      <c r="AZ1" s="10" t="s">
        <v>15</v>
      </c>
      <c r="BA1" s="3" t="s">
        <v>3</v>
      </c>
      <c r="BB1" s="3" t="s">
        <v>4</v>
      </c>
      <c r="BC1" s="3" t="s">
        <v>5</v>
      </c>
      <c r="BD1" s="3" t="s">
        <v>6</v>
      </c>
      <c r="BE1" s="3" t="s">
        <v>7</v>
      </c>
      <c r="BF1" s="3" t="s">
        <v>8</v>
      </c>
      <c r="BG1" s="4" t="s">
        <v>9</v>
      </c>
      <c r="BH1" s="4"/>
      <c r="BI1" s="4"/>
      <c r="BJ1" s="4"/>
      <c r="BK1" s="4"/>
      <c r="BL1" s="4"/>
      <c r="BN1" t="s">
        <v>0</v>
      </c>
      <c r="BO1" s="1" t="s">
        <v>16</v>
      </c>
      <c r="BP1" s="6" t="s">
        <v>17</v>
      </c>
      <c r="BQ1" s="7" t="s">
        <v>3</v>
      </c>
      <c r="BR1" s="7" t="s">
        <v>4</v>
      </c>
      <c r="BS1" s="7" t="s">
        <v>5</v>
      </c>
      <c r="BT1" s="7" t="s">
        <v>6</v>
      </c>
      <c r="BU1" s="7" t="s">
        <v>7</v>
      </c>
      <c r="BV1" s="7" t="s">
        <v>8</v>
      </c>
      <c r="BW1" s="8" t="s">
        <v>9</v>
      </c>
      <c r="BX1" s="8"/>
      <c r="BY1" s="8"/>
      <c r="BZ1" s="8"/>
      <c r="CA1" s="8"/>
      <c r="CB1" s="8"/>
      <c r="CD1" t="s">
        <v>0</v>
      </c>
      <c r="CE1" s="1" t="s">
        <v>18</v>
      </c>
      <c r="CF1" s="10" t="s">
        <v>19</v>
      </c>
      <c r="CG1" s="3" t="s">
        <v>3</v>
      </c>
      <c r="CH1" s="3" t="s">
        <v>4</v>
      </c>
      <c r="CI1" s="3" t="s">
        <v>5</v>
      </c>
      <c r="CJ1" s="3" t="s">
        <v>6</v>
      </c>
      <c r="CK1" s="3" t="s">
        <v>7</v>
      </c>
      <c r="CL1" s="3" t="s">
        <v>8</v>
      </c>
      <c r="CM1" s="4" t="s">
        <v>9</v>
      </c>
      <c r="CN1" s="4"/>
      <c r="CO1" s="4"/>
      <c r="CP1" s="4"/>
      <c r="CQ1" s="4"/>
      <c r="CR1" s="4"/>
    </row>
    <row r="2" spans="2:96" x14ac:dyDescent="0.3">
      <c r="B2" t="s">
        <v>20</v>
      </c>
      <c r="C2" s="1" t="str" cm="1">
        <f t="array" ref="C2">_xlfn.TEXTJOIN(",",TRUE,"'Wegmans Cross Dock'!"&amp;_xlfn.TEXTSPLIT(C1,","))</f>
        <v>'Wegmans Cross Dock'!L1234,'Wegmans Cross Dock'!L1258,'Wegmans Cross Dock'!L1282,'Wegmans Cross Dock'!L1306,'Wegmans Cross Dock'!L1330,'Wegmans Cross Dock'!L1354</v>
      </c>
      <c r="D2" s="11"/>
      <c r="E2" s="12" cm="1">
        <f t="array" ref="E2:E7">TRANSPOSE(CHOOSE({1,2,3,4,5,6}, '[1]Wegmans Cross Dock'!L1234,'[1]Wegmans Cross Dock'!L1258,'[1]Wegmans Cross Dock'!L1282,'[1]Wegmans Cross Dock'!L1306,'[1]Wegmans Cross Dock'!L1330,'[1]Wegmans Cross Dock'!L1354))</f>
        <v>99</v>
      </c>
      <c r="F2" s="12" cm="1">
        <f t="array" ref="F2:F7">TRANSPOSE(CHOOSE({1,2,3,4,5,6}, '[1]Wegmans Cross Dock'!M1234,'[1]Wegmans Cross Dock'!M1258,'[1]Wegmans Cross Dock'!M1282,'[1]Wegmans Cross Dock'!M1306,'[1]Wegmans Cross Dock'!M1330,'[1]Wegmans Cross Dock'!M1354))</f>
        <v>33</v>
      </c>
      <c r="G2" s="12" cm="1">
        <f t="array" ref="G2:G7">TRANSPOSE(CHOOSE({1,2,3,4,5,6}, '[1]Wegmans Cross Dock'!N1234,'[1]Wegmans Cross Dock'!N1258,'[1]Wegmans Cross Dock'!N1282,'[1]Wegmans Cross Dock'!N1306,'[1]Wegmans Cross Dock'!N1330,'[1]Wegmans Cross Dock'!N1354))</f>
        <v>23</v>
      </c>
      <c r="H2" s="12" cm="1">
        <f t="array" ref="H2:H7">TRANSPOSE(CHOOSE({1,2,3,4,5,6}, '[1]Wegmans Cross Dock'!O1234,'[1]Wegmans Cross Dock'!O1258,'[1]Wegmans Cross Dock'!O1282,'[1]Wegmans Cross Dock'!O1306,'[1]Wegmans Cross Dock'!O1330,'[1]Wegmans Cross Dock'!O1354))</f>
        <v>24</v>
      </c>
      <c r="I2" s="12" cm="1">
        <f t="array" ref="I2:I7">TRANSPOSE(CHOOSE({1,2,3,4,5,6}, '[1]Wegmans Cross Dock'!P1234,'[1]Wegmans Cross Dock'!P1258,'[1]Wegmans Cross Dock'!P1282,'[1]Wegmans Cross Dock'!P1306,'[1]Wegmans Cross Dock'!P1330,'[1]Wegmans Cross Dock'!P1354))</f>
        <v>15</v>
      </c>
      <c r="J2" s="12" cm="1">
        <f t="array" ref="J2:J7">TRANSPOSE(CHOOSE({1,2,3,4,5,6}, '[1]Wegmans Cross Dock'!Q1234,'[1]Wegmans Cross Dock'!Q1258,'[1]Wegmans Cross Dock'!Q1282,'[1]Wegmans Cross Dock'!Q1306,'[1]Wegmans Cross Dock'!Q1330,'[1]Wegmans Cross Dock'!Q1354))</f>
        <v>20</v>
      </c>
      <c r="K2" s="3" t="s">
        <v>3</v>
      </c>
      <c r="L2" s="3" t="s">
        <v>4</v>
      </c>
      <c r="M2" s="3" t="s">
        <v>5</v>
      </c>
      <c r="N2" s="3" t="s">
        <v>6</v>
      </c>
      <c r="O2" s="3" t="s">
        <v>7</v>
      </c>
      <c r="P2" s="3" t="s">
        <v>8</v>
      </c>
      <c r="R2" t="s">
        <v>20</v>
      </c>
      <c r="S2" s="1" t="str" cm="1">
        <f t="array" ref="S2">_xlfn.TEXTJOIN(",",TRUE,"'Wegmans Cross Dock'!"&amp;_xlfn.TEXTSPLIT(S1,","))</f>
        <v>'Wegmans Cross Dock'!L1237,'Wegmans Cross Dock'!L1261,'Wegmans Cross Dock'!L1285,'Wegmans Cross Dock'!L1309,'Wegmans Cross Dock'!L1333,'Wegmans Cross Dock'!L1357</v>
      </c>
      <c r="T2" s="13"/>
      <c r="U2" s="14" cm="1">
        <f t="array" ref="U2:U7">TRANSPOSE(CHOOSE({1,2,3,4,5,6}, '[1]Wegmans Cross Dock'!L1237,'[1]Wegmans Cross Dock'!L1261,'[1]Wegmans Cross Dock'!L1285,'[1]Wegmans Cross Dock'!L1309,'[1]Wegmans Cross Dock'!L1333,'[1]Wegmans Cross Dock'!L1357))</f>
        <v>142</v>
      </c>
      <c r="V2" s="14" cm="1">
        <f t="array" ref="V2:V7">TRANSPOSE(CHOOSE({1,2,3,4,5,6}, '[1]Wegmans Cross Dock'!M1237,'[1]Wegmans Cross Dock'!M1261,'[1]Wegmans Cross Dock'!M1285,'[1]Wegmans Cross Dock'!M1309,'[1]Wegmans Cross Dock'!M1333,'[1]Wegmans Cross Dock'!M1357))</f>
        <v>53</v>
      </c>
      <c r="W2" s="14" cm="1">
        <f t="array" ref="W2:W7">TRANSPOSE(CHOOSE({1,2,3,4,5,6}, '[1]Wegmans Cross Dock'!N1237,'[1]Wegmans Cross Dock'!N1261,'[1]Wegmans Cross Dock'!N1285,'[1]Wegmans Cross Dock'!N1309,'[1]Wegmans Cross Dock'!N1333,'[1]Wegmans Cross Dock'!N1357))</f>
        <v>37</v>
      </c>
      <c r="X2" s="14" cm="1">
        <f t="array" ref="X2:X7">TRANSPOSE(CHOOSE({1,2,3,4,5,6}, '[1]Wegmans Cross Dock'!O1237,'[1]Wegmans Cross Dock'!O1261,'[1]Wegmans Cross Dock'!O1285,'[1]Wegmans Cross Dock'!O1309,'[1]Wegmans Cross Dock'!O1333,'[1]Wegmans Cross Dock'!O1357))</f>
        <v>36</v>
      </c>
      <c r="Y2" s="14" cm="1">
        <f t="array" ref="Y2:Y7">TRANSPOSE(CHOOSE({1,2,3,4,5,6}, '[1]Wegmans Cross Dock'!P1237,'[1]Wegmans Cross Dock'!P1261,'[1]Wegmans Cross Dock'!P1285,'[1]Wegmans Cross Dock'!P1309,'[1]Wegmans Cross Dock'!P1333,'[1]Wegmans Cross Dock'!P1357))</f>
        <v>33</v>
      </c>
      <c r="Z2" s="14" cm="1">
        <f t="array" ref="Z2:Z7">TRANSPOSE(CHOOSE({1,2,3,4,5,6}, '[1]Wegmans Cross Dock'!Q1237,'[1]Wegmans Cross Dock'!Q1261,'[1]Wegmans Cross Dock'!Q1285,'[1]Wegmans Cross Dock'!Q1309,'[1]Wegmans Cross Dock'!Q1333,'[1]Wegmans Cross Dock'!Q1357))</f>
        <v>20</v>
      </c>
      <c r="AA2" s="7" t="s">
        <v>3</v>
      </c>
      <c r="AB2" s="7" t="s">
        <v>4</v>
      </c>
      <c r="AC2" s="7" t="s">
        <v>5</v>
      </c>
      <c r="AD2" s="7" t="s">
        <v>6</v>
      </c>
      <c r="AE2" s="7" t="s">
        <v>7</v>
      </c>
      <c r="AF2" s="7" t="s">
        <v>8</v>
      </c>
      <c r="AH2" t="s">
        <v>20</v>
      </c>
      <c r="AI2" s="1" t="str" cm="1">
        <f t="array" ref="AI2">_xlfn.TEXTJOIN(",",TRUE,"'Wegmans Cross Dock'!"&amp;_xlfn.TEXTSPLIT(AI1,","))</f>
        <v>'Wegmans Cross Dock'!L1243,'Wegmans Cross Dock'!L1267,'Wegmans Cross Dock'!L1291,'Wegmans Cross Dock'!L1315,'Wegmans Cross Dock'!L1339,'Wegmans Cross Dock'!L1363</v>
      </c>
      <c r="AJ2" s="15"/>
      <c r="AK2" s="12" cm="1">
        <f t="array" ref="AK2:AK7">TRANSPOSE(CHOOSE({1,2,3,4,5,6}, '[1]Wegmans Cross Dock'!L1243,'[1]Wegmans Cross Dock'!L1267,'[1]Wegmans Cross Dock'!L1291,'[1]Wegmans Cross Dock'!L1315,'[1]Wegmans Cross Dock'!L1339,'[1]Wegmans Cross Dock'!L1363))</f>
        <v>90</v>
      </c>
      <c r="AL2" s="12" cm="1">
        <f t="array" ref="AL2:AL7">TRANSPOSE(CHOOSE({1,2,3,4,5,6}, '[1]Wegmans Cross Dock'!M1243,'[1]Wegmans Cross Dock'!M1267,'[1]Wegmans Cross Dock'!M1291,'[1]Wegmans Cross Dock'!M1315,'[1]Wegmans Cross Dock'!M1339,'[1]Wegmans Cross Dock'!M1363))</f>
        <v>39</v>
      </c>
      <c r="AM2" s="12" cm="1">
        <f t="array" ref="AM2:AM7">TRANSPOSE(CHOOSE({1,2,3,4,5,6}, '[1]Wegmans Cross Dock'!N1243,'[1]Wegmans Cross Dock'!N1267,'[1]Wegmans Cross Dock'!N1291,'[1]Wegmans Cross Dock'!N1315,'[1]Wegmans Cross Dock'!N1339,'[1]Wegmans Cross Dock'!N1363))</f>
        <v>0</v>
      </c>
      <c r="AN2" s="12" cm="1">
        <f t="array" ref="AN2:AN7">TRANSPOSE(CHOOSE({1,2,3,4,5,6}, '[1]Wegmans Cross Dock'!O1243,'[1]Wegmans Cross Dock'!O1267,'[1]Wegmans Cross Dock'!O1291,'[1]Wegmans Cross Dock'!O1315,'[1]Wegmans Cross Dock'!O1339,'[1]Wegmans Cross Dock'!O1363))</f>
        <v>1</v>
      </c>
      <c r="AO2" s="12" cm="1">
        <f t="array" ref="AO2:AO7">TRANSPOSE(CHOOSE({1,2,3,4,5,6}, '[1]Wegmans Cross Dock'!P1243,'[1]Wegmans Cross Dock'!P1267,'[1]Wegmans Cross Dock'!P1291,'[1]Wegmans Cross Dock'!P1315,'[1]Wegmans Cross Dock'!P1339,'[1]Wegmans Cross Dock'!P1363))</f>
        <v>18</v>
      </c>
      <c r="AP2" s="12" cm="1">
        <f t="array" ref="AP2:AP7">TRANSPOSE(CHOOSE({1,2,3,4,5,6}, '[1]Wegmans Cross Dock'!Q1243,'[1]Wegmans Cross Dock'!Q1267,'[1]Wegmans Cross Dock'!Q1291,'[1]Wegmans Cross Dock'!Q1315,'[1]Wegmans Cross Dock'!Q1339,'[1]Wegmans Cross Dock'!Q1363))</f>
        <v>10</v>
      </c>
      <c r="AQ2" s="3" t="s">
        <v>3</v>
      </c>
      <c r="AR2" s="3" t="s">
        <v>4</v>
      </c>
      <c r="AS2" s="3" t="s">
        <v>5</v>
      </c>
      <c r="AT2" s="3" t="s">
        <v>6</v>
      </c>
      <c r="AU2" s="3" t="s">
        <v>7</v>
      </c>
      <c r="AV2" s="3" t="s">
        <v>8</v>
      </c>
      <c r="AX2" t="s">
        <v>20</v>
      </c>
      <c r="AY2" s="1" t="str" cm="1">
        <f t="array" ref="AY2">_xlfn.TEXTJOIN(",",TRUE,"'Wegmans Cross Dock'!"&amp;_xlfn.TEXTSPLIT(AY1,","))</f>
        <v>'Wegmans Cross Dock'!L1246,'Wegmans Cross Dock'!L1270,'Wegmans Cross Dock'!L1294,'Wegmans Cross Dock'!L1318,'Wegmans Cross Dock'!L1342,'Wegmans Cross Dock'!L1366</v>
      </c>
      <c r="AZ2" s="16"/>
      <c r="BA2" s="12" cm="1">
        <f t="array" ref="BA2:BA7">TRANSPOSE(CHOOSE({1,2,3,4,5,6}, '[1]Wegmans Cross Dock'!L1246,'[1]Wegmans Cross Dock'!L1270,'[1]Wegmans Cross Dock'!L1294,'[1]Wegmans Cross Dock'!L1318,'[1]Wegmans Cross Dock'!L1342,'[1]Wegmans Cross Dock'!L1366))</f>
        <v>201</v>
      </c>
      <c r="BB2" s="12" cm="1">
        <f t="array" ref="BB2:BB7">TRANSPOSE(CHOOSE({1,2,3,4,5,6}, '[1]Wegmans Cross Dock'!M1246,'[1]Wegmans Cross Dock'!M1270,'[1]Wegmans Cross Dock'!M1294,'[1]Wegmans Cross Dock'!M1318,'[1]Wegmans Cross Dock'!M1342,'[1]Wegmans Cross Dock'!M1366))</f>
        <v>121</v>
      </c>
      <c r="BC2" s="12" cm="1">
        <f t="array" ref="BC2:BC7">TRANSPOSE(CHOOSE({1,2,3,4,5,6}, '[1]Wegmans Cross Dock'!N1246,'[1]Wegmans Cross Dock'!N1270,'[1]Wegmans Cross Dock'!N1294,'[1]Wegmans Cross Dock'!N1318,'[1]Wegmans Cross Dock'!N1342,'[1]Wegmans Cross Dock'!N1366))</f>
        <v>0</v>
      </c>
      <c r="BD2" s="12" cm="1">
        <f t="array" ref="BD2:BD7">TRANSPOSE(CHOOSE({1,2,3,4,5,6}, '[1]Wegmans Cross Dock'!O1246,'[1]Wegmans Cross Dock'!O1270,'[1]Wegmans Cross Dock'!O1294,'[1]Wegmans Cross Dock'!O1318,'[1]Wegmans Cross Dock'!O1342,'[1]Wegmans Cross Dock'!O1366))</f>
        <v>0</v>
      </c>
      <c r="BE2" s="12" cm="1">
        <f t="array" ref="BE2:BE7">TRANSPOSE(CHOOSE({1,2,3,4,5,6}, '[1]Wegmans Cross Dock'!P1246,'[1]Wegmans Cross Dock'!P1270,'[1]Wegmans Cross Dock'!P1294,'[1]Wegmans Cross Dock'!P1318,'[1]Wegmans Cross Dock'!P1342,'[1]Wegmans Cross Dock'!P1366))</f>
        <v>33</v>
      </c>
      <c r="BF2" s="12" cm="1">
        <f t="array" ref="BF2:BF7">TRANSPOSE(CHOOSE({1,2,3,4,5,6}, '[1]Wegmans Cross Dock'!Q1246,'[1]Wegmans Cross Dock'!Q1270,'[1]Wegmans Cross Dock'!Q1294,'[1]Wegmans Cross Dock'!Q1318,'[1]Wegmans Cross Dock'!Q1342,'[1]Wegmans Cross Dock'!Q1366))</f>
        <v>21</v>
      </c>
      <c r="BG2" s="3" t="s">
        <v>3</v>
      </c>
      <c r="BH2" s="3" t="s">
        <v>4</v>
      </c>
      <c r="BI2" s="3" t="s">
        <v>5</v>
      </c>
      <c r="BJ2" s="3" t="s">
        <v>6</v>
      </c>
      <c r="BK2" s="3" t="s">
        <v>7</v>
      </c>
      <c r="BL2" s="3" t="s">
        <v>8</v>
      </c>
      <c r="BN2" t="s">
        <v>20</v>
      </c>
      <c r="BO2" s="1" t="str" cm="1">
        <f t="array" ref="BO2">_xlfn.TEXTJOIN(",",TRUE,"'Wegmans Cross Dock'!"&amp;_xlfn.TEXTSPLIT(BO1,","))</f>
        <v>'Wegmans Cross Dock'!L1249,'Wegmans Cross Dock'!L1273,'Wegmans Cross Dock'!L1297,'Wegmans Cross Dock'!L1321,'Wegmans Cross Dock'!L1345,'Wegmans Cross Dock'!L1369</v>
      </c>
      <c r="BP2" s="13"/>
      <c r="BQ2" s="14" cm="1">
        <f t="array" ref="BQ2:BQ7">TRANSPOSE(CHOOSE({1,2,3,4,5,6}, '[1]Wegmans Cross Dock'!L1249,'[1]Wegmans Cross Dock'!L1273,'[1]Wegmans Cross Dock'!L1297,'[1]Wegmans Cross Dock'!L1321,'[1]Wegmans Cross Dock'!L1345,'[1]Wegmans Cross Dock'!L1369))</f>
        <v>270</v>
      </c>
      <c r="BR2" s="14" cm="1">
        <f t="array" ref="BR2:BR7">TRANSPOSE(CHOOSE({1,2,3,4,5,6}, '[1]Wegmans Cross Dock'!M1249,'[1]Wegmans Cross Dock'!M1273,'[1]Wegmans Cross Dock'!M1297,'[1]Wegmans Cross Dock'!M1321,'[1]Wegmans Cross Dock'!M1345,'[1]Wegmans Cross Dock'!M1369))</f>
        <v>157</v>
      </c>
      <c r="BS2" s="14" cm="1">
        <f t="array" ref="BS2:BS7">TRANSPOSE(CHOOSE({1,2,3,4,5,6}, '[1]Wegmans Cross Dock'!N1249,'[1]Wegmans Cross Dock'!N1273,'[1]Wegmans Cross Dock'!N1297,'[1]Wegmans Cross Dock'!N1321,'[1]Wegmans Cross Dock'!N1345,'[1]Wegmans Cross Dock'!N1369))</f>
        <v>0</v>
      </c>
      <c r="BT2" s="14" cm="1">
        <f t="array" ref="BT2:BT7">TRANSPOSE(CHOOSE({1,2,3,4,5,6}, '[1]Wegmans Cross Dock'!O1249,'[1]Wegmans Cross Dock'!O1273,'[1]Wegmans Cross Dock'!O1297,'[1]Wegmans Cross Dock'!O1321,'[1]Wegmans Cross Dock'!O1345,'[1]Wegmans Cross Dock'!O1369))</f>
        <v>3</v>
      </c>
      <c r="BU2" s="14" cm="1">
        <f t="array" ref="BU2:BU7">TRANSPOSE(CHOOSE({1,2,3,4,5,6}, '[1]Wegmans Cross Dock'!P1249,'[1]Wegmans Cross Dock'!P1273,'[1]Wegmans Cross Dock'!P1297,'[1]Wegmans Cross Dock'!P1321,'[1]Wegmans Cross Dock'!P1345,'[1]Wegmans Cross Dock'!P1369))</f>
        <v>38</v>
      </c>
      <c r="BV2" s="14" cm="1">
        <f t="array" ref="BV2:BV7">TRANSPOSE(CHOOSE({1,2,3,4,5,6}, '[1]Wegmans Cross Dock'!Q1249,'[1]Wegmans Cross Dock'!Q1273,'[1]Wegmans Cross Dock'!Q1297,'[1]Wegmans Cross Dock'!Q1321,'[1]Wegmans Cross Dock'!Q1345,'[1]Wegmans Cross Dock'!Q1369))</f>
        <v>27</v>
      </c>
      <c r="BW2" s="7" t="s">
        <v>3</v>
      </c>
      <c r="BX2" s="7" t="s">
        <v>4</v>
      </c>
      <c r="BY2" s="7" t="s">
        <v>5</v>
      </c>
      <c r="BZ2" s="7" t="s">
        <v>6</v>
      </c>
      <c r="CA2" s="7" t="s">
        <v>7</v>
      </c>
      <c r="CB2" s="7" t="s">
        <v>8</v>
      </c>
      <c r="CD2" t="s">
        <v>20</v>
      </c>
      <c r="CE2" s="1" t="str" cm="1">
        <f t="array" ref="CE2">_xlfn.TEXTJOIN(",",TRUE,"'Wegmans Cross Dock'!"&amp;_xlfn.TEXTSPLIT(CE1,","))</f>
        <v>'Wegmans Cross Dock'!L1255,'Wegmans Cross Dock'!L1279,'Wegmans Cross Dock'!L1303,'Wegmans Cross Dock'!L1327,'Wegmans Cross Dock'!L1351,'Wegmans Cross Dock'!L1375</v>
      </c>
      <c r="CF2" s="16"/>
      <c r="CG2" s="12" cm="1">
        <f t="array" ref="CG2:CG7">TRANSPOSE(CHOOSE({1,2,3,4,5,6}, '[1]Wegmans Cross Dock'!L1255,'[1]Wegmans Cross Dock'!L1279,'[1]Wegmans Cross Dock'!L1303,'[1]Wegmans Cross Dock'!L1327,'[1]Wegmans Cross Dock'!L1351,'[1]Wegmans Cross Dock'!L1375))</f>
        <v>317</v>
      </c>
      <c r="CH2" s="12" cm="1">
        <f t="array" ref="CH2:CH7">TRANSPOSE(CHOOSE({1,2,3,4,5,6}, '[1]Wegmans Cross Dock'!M1255,'[1]Wegmans Cross Dock'!M1279,'[1]Wegmans Cross Dock'!M1303,'[1]Wegmans Cross Dock'!M1327,'[1]Wegmans Cross Dock'!M1351,'[1]Wegmans Cross Dock'!M1375))</f>
        <v>206</v>
      </c>
      <c r="CI2" s="12" cm="1">
        <f t="array" ref="CI2:CI7">TRANSPOSE(CHOOSE({1,2,3,4,5,6}, '[1]Wegmans Cross Dock'!N1255,'[1]Wegmans Cross Dock'!N1279,'[1]Wegmans Cross Dock'!N1303,'[1]Wegmans Cross Dock'!N1327,'[1]Wegmans Cross Dock'!N1351,'[1]Wegmans Cross Dock'!N1375))</f>
        <v>0</v>
      </c>
      <c r="CJ2" s="12" cm="1">
        <f t="array" ref="CJ2:CJ7">TRANSPOSE(CHOOSE({1,2,3,4,5,6}, '[1]Wegmans Cross Dock'!O1255,'[1]Wegmans Cross Dock'!O1279,'[1]Wegmans Cross Dock'!O1303,'[1]Wegmans Cross Dock'!O1327,'[1]Wegmans Cross Dock'!O1351,'[1]Wegmans Cross Dock'!O1375))</f>
        <v>0</v>
      </c>
      <c r="CK2" s="12" cm="1">
        <f t="array" ref="CK2:CK7">TRANSPOSE(CHOOSE({1,2,3,4,5,6}, '[1]Wegmans Cross Dock'!P1255,'[1]Wegmans Cross Dock'!P1279,'[1]Wegmans Cross Dock'!P1303,'[1]Wegmans Cross Dock'!P1327,'[1]Wegmans Cross Dock'!P1351,'[1]Wegmans Cross Dock'!P1375))</f>
        <v>76</v>
      </c>
      <c r="CL2" s="12" cm="1">
        <f t="array" ref="CL2:CL7">TRANSPOSE(CHOOSE({1,2,3,4,5,6}, '[1]Wegmans Cross Dock'!Q1255,'[1]Wegmans Cross Dock'!Q1279,'[1]Wegmans Cross Dock'!Q1303,'[1]Wegmans Cross Dock'!Q1327,'[1]Wegmans Cross Dock'!Q1351,'[1]Wegmans Cross Dock'!Q1375))</f>
        <v>48</v>
      </c>
      <c r="CM2" s="3" t="s">
        <v>3</v>
      </c>
      <c r="CN2" s="3" t="s">
        <v>4</v>
      </c>
      <c r="CO2" s="3" t="s">
        <v>5</v>
      </c>
      <c r="CP2" s="3" t="s">
        <v>6</v>
      </c>
      <c r="CQ2" s="3" t="s">
        <v>7</v>
      </c>
      <c r="CR2" s="3" t="s">
        <v>8</v>
      </c>
    </row>
    <row r="3" spans="2:96" x14ac:dyDescent="0.3">
      <c r="B3" t="s">
        <v>21</v>
      </c>
      <c r="C3" s="17" t="s">
        <v>22</v>
      </c>
      <c r="D3" s="11"/>
      <c r="E3" s="12">
        <v>112</v>
      </c>
      <c r="F3" s="12">
        <v>47</v>
      </c>
      <c r="G3" s="12">
        <v>0</v>
      </c>
      <c r="H3" s="12">
        <v>2</v>
      </c>
      <c r="I3" s="12">
        <v>17</v>
      </c>
      <c r="J3" s="12">
        <v>14</v>
      </c>
      <c r="K3" s="12"/>
      <c r="L3" s="12"/>
      <c r="M3" s="12"/>
      <c r="N3" s="12"/>
      <c r="O3" s="12"/>
      <c r="P3" s="12"/>
      <c r="Q3" s="18"/>
      <c r="R3" t="s">
        <v>21</v>
      </c>
      <c r="S3" s="17" t="s">
        <v>23</v>
      </c>
      <c r="T3" s="13"/>
      <c r="U3" s="14">
        <v>168</v>
      </c>
      <c r="V3" s="14">
        <v>82</v>
      </c>
      <c r="W3" s="14">
        <v>0</v>
      </c>
      <c r="X3" s="14">
        <v>0</v>
      </c>
      <c r="Y3" s="14">
        <v>36</v>
      </c>
      <c r="Z3" s="14">
        <v>21</v>
      </c>
      <c r="AA3" s="14"/>
      <c r="AB3" s="14"/>
      <c r="AC3" s="14"/>
      <c r="AD3" s="14"/>
      <c r="AE3" s="14"/>
      <c r="AF3" s="14"/>
      <c r="AG3" s="18"/>
      <c r="AH3" t="s">
        <v>21</v>
      </c>
      <c r="AI3" s="17" t="s">
        <v>24</v>
      </c>
      <c r="AJ3" s="15"/>
      <c r="AK3" s="12">
        <v>70</v>
      </c>
      <c r="AL3" s="12">
        <v>57</v>
      </c>
      <c r="AM3" s="12">
        <v>0</v>
      </c>
      <c r="AN3" s="12">
        <v>1</v>
      </c>
      <c r="AO3" s="12">
        <v>15</v>
      </c>
      <c r="AP3" s="12">
        <v>15</v>
      </c>
      <c r="AQ3" s="12"/>
      <c r="AR3" s="12"/>
      <c r="AS3" s="12"/>
      <c r="AT3" s="12"/>
      <c r="AU3" s="12"/>
      <c r="AV3" s="12"/>
      <c r="AW3" s="18"/>
      <c r="AX3" t="s">
        <v>21</v>
      </c>
      <c r="AY3" s="17" t="s">
        <v>25</v>
      </c>
      <c r="AZ3" s="16"/>
      <c r="BA3" s="12">
        <v>185</v>
      </c>
      <c r="BB3" s="12">
        <v>147</v>
      </c>
      <c r="BC3" s="12">
        <v>0</v>
      </c>
      <c r="BD3" s="12">
        <v>0</v>
      </c>
      <c r="BE3" s="12">
        <v>39</v>
      </c>
      <c r="BF3" s="12">
        <v>29</v>
      </c>
      <c r="BG3" s="12"/>
      <c r="BH3" s="12"/>
      <c r="BI3" s="12"/>
      <c r="BJ3" s="12"/>
      <c r="BK3" s="12"/>
      <c r="BL3" s="12"/>
      <c r="BN3" t="s">
        <v>21</v>
      </c>
      <c r="BO3" s="17" t="s">
        <v>26</v>
      </c>
      <c r="BP3" s="13"/>
      <c r="BQ3" s="14">
        <v>202</v>
      </c>
      <c r="BR3" s="14">
        <v>226</v>
      </c>
      <c r="BS3" s="14">
        <v>0</v>
      </c>
      <c r="BT3" s="14">
        <v>3</v>
      </c>
      <c r="BU3" s="14">
        <v>60</v>
      </c>
      <c r="BV3" s="14">
        <v>29</v>
      </c>
      <c r="BW3" s="14"/>
      <c r="BX3" s="14"/>
      <c r="BY3" s="14"/>
      <c r="BZ3" s="14"/>
      <c r="CA3" s="14"/>
      <c r="CB3" s="14"/>
      <c r="CD3" t="s">
        <v>21</v>
      </c>
      <c r="CE3" s="17" t="s">
        <v>27</v>
      </c>
      <c r="CF3" s="16"/>
      <c r="CG3" s="12">
        <v>290</v>
      </c>
      <c r="CH3" s="12">
        <v>204</v>
      </c>
      <c r="CI3" s="12">
        <v>0</v>
      </c>
      <c r="CJ3" s="12">
        <v>0</v>
      </c>
      <c r="CK3" s="12">
        <v>71</v>
      </c>
      <c r="CL3" s="12">
        <v>37</v>
      </c>
      <c r="CM3" s="12"/>
      <c r="CN3" s="12"/>
      <c r="CO3" s="12"/>
      <c r="CP3" s="12"/>
      <c r="CQ3" s="12"/>
      <c r="CR3" s="12"/>
    </row>
    <row r="4" spans="2:96" x14ac:dyDescent="0.3">
      <c r="D4" s="11"/>
      <c r="E4" s="12">
        <v>127</v>
      </c>
      <c r="F4" s="12">
        <v>68</v>
      </c>
      <c r="G4" s="12">
        <v>0</v>
      </c>
      <c r="H4" s="12">
        <v>0</v>
      </c>
      <c r="I4" s="12">
        <v>30</v>
      </c>
      <c r="J4" s="12">
        <v>15</v>
      </c>
      <c r="K4" s="12"/>
      <c r="L4" s="12"/>
      <c r="M4" s="12"/>
      <c r="N4" s="12"/>
      <c r="O4" s="12"/>
      <c r="P4" s="12"/>
      <c r="Q4" s="18"/>
      <c r="T4" s="13"/>
      <c r="U4" s="14">
        <v>169</v>
      </c>
      <c r="V4" s="14">
        <v>76</v>
      </c>
      <c r="W4" s="14">
        <v>0</v>
      </c>
      <c r="X4" s="14">
        <v>0</v>
      </c>
      <c r="Y4" s="14">
        <v>22</v>
      </c>
      <c r="Z4" s="14">
        <v>27</v>
      </c>
      <c r="AA4" s="14"/>
      <c r="AB4" s="14"/>
      <c r="AC4" s="14"/>
      <c r="AD4" s="14"/>
      <c r="AE4" s="14"/>
      <c r="AF4" s="14"/>
      <c r="AG4" s="18"/>
      <c r="AJ4" s="15"/>
      <c r="AK4" s="12">
        <v>97</v>
      </c>
      <c r="AL4" s="12">
        <v>60</v>
      </c>
      <c r="AM4" s="12">
        <v>0</v>
      </c>
      <c r="AN4" s="12">
        <v>0</v>
      </c>
      <c r="AO4" s="12">
        <v>15</v>
      </c>
      <c r="AP4" s="12">
        <v>18</v>
      </c>
      <c r="AQ4" s="12"/>
      <c r="AR4" s="12"/>
      <c r="AS4" s="12"/>
      <c r="AT4" s="12"/>
      <c r="AU4" s="12"/>
      <c r="AV4" s="12"/>
      <c r="AW4" s="18"/>
      <c r="AZ4" s="16"/>
      <c r="BA4" s="12">
        <v>155</v>
      </c>
      <c r="BB4" s="12">
        <v>125</v>
      </c>
      <c r="BC4" s="12">
        <v>0</v>
      </c>
      <c r="BD4" s="12">
        <v>0</v>
      </c>
      <c r="BE4" s="12">
        <v>17</v>
      </c>
      <c r="BF4" s="12">
        <v>33</v>
      </c>
      <c r="BG4" s="12"/>
      <c r="BH4" s="12"/>
      <c r="BI4" s="12"/>
      <c r="BJ4" s="12"/>
      <c r="BK4" s="12"/>
      <c r="BL4" s="12"/>
      <c r="BP4" s="13"/>
      <c r="BQ4" s="14">
        <v>206</v>
      </c>
      <c r="BR4" s="14">
        <v>117</v>
      </c>
      <c r="BS4" s="14">
        <v>0</v>
      </c>
      <c r="BT4" s="14">
        <v>0</v>
      </c>
      <c r="BU4" s="14">
        <v>37</v>
      </c>
      <c r="BV4" s="14">
        <v>38</v>
      </c>
      <c r="BW4" s="14"/>
      <c r="BX4" s="14"/>
      <c r="BY4" s="14"/>
      <c r="BZ4" s="14"/>
      <c r="CA4" s="14"/>
      <c r="CB4" s="14"/>
      <c r="CF4" s="16"/>
      <c r="CG4" s="12">
        <v>335</v>
      </c>
      <c r="CH4" s="12">
        <v>190</v>
      </c>
      <c r="CI4" s="12">
        <v>0</v>
      </c>
      <c r="CJ4" s="12">
        <v>0</v>
      </c>
      <c r="CK4" s="12">
        <v>84</v>
      </c>
      <c r="CL4" s="12">
        <v>55</v>
      </c>
      <c r="CM4" s="12"/>
      <c r="CN4" s="12"/>
      <c r="CO4" s="12"/>
      <c r="CP4" s="12"/>
      <c r="CQ4" s="12"/>
      <c r="CR4" s="12"/>
    </row>
    <row r="5" spans="2:96" x14ac:dyDescent="0.3">
      <c r="D5" s="11"/>
      <c r="E5" s="12">
        <v>115</v>
      </c>
      <c r="F5" s="12">
        <v>61</v>
      </c>
      <c r="G5" s="12">
        <v>0</v>
      </c>
      <c r="H5" s="12">
        <v>0</v>
      </c>
      <c r="I5" s="12">
        <v>18</v>
      </c>
      <c r="J5" s="12">
        <v>16</v>
      </c>
      <c r="K5" s="12"/>
      <c r="L5" s="12"/>
      <c r="M5" s="12"/>
      <c r="N5" s="12"/>
      <c r="O5" s="12"/>
      <c r="P5" s="12"/>
      <c r="Q5" s="18"/>
      <c r="T5" s="13"/>
      <c r="U5" s="14">
        <v>151</v>
      </c>
      <c r="V5" s="14">
        <v>83</v>
      </c>
      <c r="W5" s="14">
        <v>0</v>
      </c>
      <c r="X5" s="14">
        <v>0</v>
      </c>
      <c r="Y5" s="14">
        <v>32</v>
      </c>
      <c r="Z5" s="14">
        <v>18</v>
      </c>
      <c r="AA5" s="14"/>
      <c r="AB5" s="14"/>
      <c r="AC5" s="14"/>
      <c r="AD5" s="14"/>
      <c r="AE5" s="14"/>
      <c r="AF5" s="14"/>
      <c r="AG5" s="18"/>
      <c r="AJ5" s="15"/>
      <c r="AK5" s="12">
        <v>78</v>
      </c>
      <c r="AL5" s="12">
        <v>38</v>
      </c>
      <c r="AM5" s="12">
        <v>0</v>
      </c>
      <c r="AN5" s="12">
        <v>0</v>
      </c>
      <c r="AO5" s="12">
        <v>19</v>
      </c>
      <c r="AP5" s="12">
        <v>7</v>
      </c>
      <c r="AQ5" s="12"/>
      <c r="AR5" s="12"/>
      <c r="AS5" s="12"/>
      <c r="AT5" s="12"/>
      <c r="AU5" s="12"/>
      <c r="AV5" s="12"/>
      <c r="AW5" s="18"/>
      <c r="AZ5" s="16"/>
      <c r="BA5" s="12">
        <v>178</v>
      </c>
      <c r="BB5" s="12">
        <v>158</v>
      </c>
      <c r="BC5" s="12">
        <v>0</v>
      </c>
      <c r="BD5" s="12">
        <v>0</v>
      </c>
      <c r="BE5" s="12">
        <v>47</v>
      </c>
      <c r="BF5" s="12">
        <v>39</v>
      </c>
      <c r="BG5" s="12"/>
      <c r="BH5" s="12"/>
      <c r="BI5" s="12"/>
      <c r="BJ5" s="12"/>
      <c r="BK5" s="12"/>
      <c r="BL5" s="12"/>
      <c r="BP5" s="13"/>
      <c r="BQ5" s="14">
        <v>209</v>
      </c>
      <c r="BR5" s="14">
        <v>148</v>
      </c>
      <c r="BS5" s="14">
        <v>0</v>
      </c>
      <c r="BT5" s="14">
        <v>2</v>
      </c>
      <c r="BU5" s="14">
        <v>54</v>
      </c>
      <c r="BV5" s="14">
        <v>37</v>
      </c>
      <c r="BW5" s="14"/>
      <c r="BX5" s="14"/>
      <c r="BY5" s="14"/>
      <c r="BZ5" s="14"/>
      <c r="CA5" s="14"/>
      <c r="CB5" s="14"/>
      <c r="CF5" s="16"/>
      <c r="CG5" s="12">
        <v>315</v>
      </c>
      <c r="CH5" s="12">
        <v>218</v>
      </c>
      <c r="CI5" s="12">
        <v>0</v>
      </c>
      <c r="CJ5" s="12">
        <v>0</v>
      </c>
      <c r="CK5" s="12">
        <v>60</v>
      </c>
      <c r="CL5" s="12">
        <v>51</v>
      </c>
      <c r="CM5" s="12"/>
      <c r="CN5" s="12"/>
      <c r="CO5" s="12"/>
      <c r="CP5" s="12"/>
      <c r="CQ5" s="12"/>
      <c r="CR5" s="12"/>
    </row>
    <row r="6" spans="2:96" x14ac:dyDescent="0.3">
      <c r="D6" s="11"/>
      <c r="E6" s="12">
        <v>145</v>
      </c>
      <c r="F6" s="12">
        <v>50</v>
      </c>
      <c r="G6" s="12">
        <v>0</v>
      </c>
      <c r="H6" s="12">
        <v>1</v>
      </c>
      <c r="I6" s="12">
        <v>21</v>
      </c>
      <c r="J6" s="12">
        <v>14</v>
      </c>
      <c r="K6" s="12"/>
      <c r="L6" s="12"/>
      <c r="M6" s="12"/>
      <c r="N6" s="12"/>
      <c r="O6" s="12"/>
      <c r="P6" s="12"/>
      <c r="Q6" s="18"/>
      <c r="T6" s="13"/>
      <c r="U6" s="14">
        <v>133</v>
      </c>
      <c r="V6" s="14">
        <v>83</v>
      </c>
      <c r="W6" s="14">
        <v>0</v>
      </c>
      <c r="X6" s="14">
        <v>0</v>
      </c>
      <c r="Y6" s="14">
        <v>27</v>
      </c>
      <c r="Z6" s="14">
        <v>26</v>
      </c>
      <c r="AA6" s="14"/>
      <c r="AB6" s="14"/>
      <c r="AC6" s="14"/>
      <c r="AD6" s="14"/>
      <c r="AE6" s="14"/>
      <c r="AF6" s="14"/>
      <c r="AG6" s="18"/>
      <c r="AJ6" s="15"/>
      <c r="AK6" s="12">
        <v>91</v>
      </c>
      <c r="AL6" s="12">
        <v>47</v>
      </c>
      <c r="AM6" s="12">
        <v>0</v>
      </c>
      <c r="AN6" s="12">
        <v>0</v>
      </c>
      <c r="AO6" s="12">
        <v>28</v>
      </c>
      <c r="AP6" s="12">
        <v>17</v>
      </c>
      <c r="AQ6" s="12"/>
      <c r="AR6" s="12"/>
      <c r="AS6" s="12"/>
      <c r="AT6" s="12"/>
      <c r="AU6" s="12"/>
      <c r="AV6" s="12"/>
      <c r="AW6" s="18"/>
      <c r="AZ6" s="16"/>
      <c r="BA6" s="12">
        <v>160</v>
      </c>
      <c r="BB6" s="12">
        <v>139</v>
      </c>
      <c r="BC6" s="12">
        <v>0</v>
      </c>
      <c r="BD6" s="12">
        <v>0</v>
      </c>
      <c r="BE6" s="12">
        <v>47</v>
      </c>
      <c r="BF6" s="12">
        <v>32</v>
      </c>
      <c r="BG6" s="12"/>
      <c r="BH6" s="12"/>
      <c r="BI6" s="12"/>
      <c r="BJ6" s="12"/>
      <c r="BK6" s="12"/>
      <c r="BL6" s="12"/>
      <c r="BP6" s="13"/>
      <c r="BQ6" s="14">
        <v>206</v>
      </c>
      <c r="BR6" s="14">
        <v>143</v>
      </c>
      <c r="BS6" s="14">
        <v>0</v>
      </c>
      <c r="BT6" s="14">
        <v>0</v>
      </c>
      <c r="BU6" s="14">
        <v>46</v>
      </c>
      <c r="BV6" s="14">
        <v>39</v>
      </c>
      <c r="BW6" s="14"/>
      <c r="BX6" s="14"/>
      <c r="BY6" s="14"/>
      <c r="BZ6" s="14"/>
      <c r="CA6" s="14"/>
      <c r="CB6" s="14"/>
      <c r="CF6" s="16"/>
      <c r="CG6" s="12">
        <v>334</v>
      </c>
      <c r="CH6" s="12">
        <v>189</v>
      </c>
      <c r="CI6" s="12">
        <v>0</v>
      </c>
      <c r="CJ6" s="12">
        <v>0</v>
      </c>
      <c r="CK6" s="12">
        <v>64</v>
      </c>
      <c r="CL6" s="12">
        <v>49</v>
      </c>
      <c r="CM6" s="12"/>
      <c r="CN6" s="12"/>
      <c r="CO6" s="12"/>
      <c r="CP6" s="12"/>
      <c r="CQ6" s="12"/>
      <c r="CR6" s="12"/>
    </row>
    <row r="7" spans="2:96" x14ac:dyDescent="0.3">
      <c r="D7" s="19"/>
      <c r="E7" s="12">
        <v>126</v>
      </c>
      <c r="F7" s="12">
        <v>69</v>
      </c>
      <c r="G7" s="12">
        <v>0</v>
      </c>
      <c r="H7" s="12">
        <v>0</v>
      </c>
      <c r="I7" s="12">
        <v>22</v>
      </c>
      <c r="J7" s="12">
        <v>12</v>
      </c>
      <c r="K7" s="12"/>
      <c r="L7" s="12"/>
      <c r="M7" s="12"/>
      <c r="N7" s="12"/>
      <c r="O7" s="12"/>
      <c r="P7" s="12"/>
      <c r="Q7" s="18"/>
      <c r="T7" s="20"/>
      <c r="U7" s="14">
        <v>180</v>
      </c>
      <c r="V7" s="14">
        <v>68</v>
      </c>
      <c r="W7" s="14">
        <v>0</v>
      </c>
      <c r="X7" s="14">
        <v>0</v>
      </c>
      <c r="Y7" s="14">
        <v>42</v>
      </c>
      <c r="Z7" s="14">
        <v>25</v>
      </c>
      <c r="AA7" s="14"/>
      <c r="AB7" s="14"/>
      <c r="AC7" s="14"/>
      <c r="AD7" s="14"/>
      <c r="AE7" s="14"/>
      <c r="AF7" s="14"/>
      <c r="AG7" s="18"/>
      <c r="AJ7" s="21"/>
      <c r="AK7" s="12">
        <v>79</v>
      </c>
      <c r="AL7" s="12">
        <v>43</v>
      </c>
      <c r="AM7" s="12">
        <v>0</v>
      </c>
      <c r="AN7" s="12">
        <v>0</v>
      </c>
      <c r="AO7" s="12">
        <v>19</v>
      </c>
      <c r="AP7" s="12">
        <v>11</v>
      </c>
      <c r="AQ7" s="12"/>
      <c r="AR7" s="12"/>
      <c r="AS7" s="12"/>
      <c r="AT7" s="12"/>
      <c r="AU7" s="12"/>
      <c r="AV7" s="12"/>
      <c r="AW7" s="18"/>
      <c r="AZ7" s="22"/>
      <c r="BA7" s="12">
        <v>189</v>
      </c>
      <c r="BB7" s="12">
        <v>118</v>
      </c>
      <c r="BC7" s="12">
        <v>0</v>
      </c>
      <c r="BD7" s="12">
        <v>0</v>
      </c>
      <c r="BE7" s="12">
        <v>31</v>
      </c>
      <c r="BF7" s="12">
        <v>27</v>
      </c>
      <c r="BG7" s="12"/>
      <c r="BH7" s="12"/>
      <c r="BI7" s="12"/>
      <c r="BJ7" s="12"/>
      <c r="BK7" s="12"/>
      <c r="BL7" s="12"/>
      <c r="BP7" s="20"/>
      <c r="BQ7" s="14">
        <v>219</v>
      </c>
      <c r="BR7" s="14">
        <v>145</v>
      </c>
      <c r="BS7" s="14">
        <v>0</v>
      </c>
      <c r="BT7" s="14">
        <v>1</v>
      </c>
      <c r="BU7" s="14">
        <v>48</v>
      </c>
      <c r="BV7" s="14">
        <v>36</v>
      </c>
      <c r="BW7" s="14"/>
      <c r="BX7" s="14"/>
      <c r="BY7" s="14"/>
      <c r="BZ7" s="14"/>
      <c r="CA7" s="14"/>
      <c r="CB7" s="14"/>
      <c r="CF7" s="22"/>
      <c r="CG7" s="12">
        <v>371</v>
      </c>
      <c r="CH7" s="12">
        <v>236</v>
      </c>
      <c r="CI7" s="12">
        <v>0</v>
      </c>
      <c r="CJ7" s="12">
        <v>0</v>
      </c>
      <c r="CK7" s="12">
        <v>80</v>
      </c>
      <c r="CL7" s="12">
        <v>47</v>
      </c>
      <c r="CM7" s="12"/>
      <c r="CN7" s="12"/>
      <c r="CO7" s="12"/>
      <c r="CP7" s="12"/>
      <c r="CQ7" s="12"/>
      <c r="CR7" s="12"/>
    </row>
    <row r="8" spans="2:96" x14ac:dyDescent="0.3">
      <c r="D8" s="23" t="s">
        <v>28</v>
      </c>
      <c r="E8" s="24">
        <f>AVERAGE(E2:E7)</f>
        <v>120.66666666666667</v>
      </c>
      <c r="F8" s="24">
        <f t="shared" ref="F8:J8" si="0">AVERAGE(F2:F7)</f>
        <v>54.666666666666664</v>
      </c>
      <c r="G8" s="24">
        <f t="shared" si="0"/>
        <v>3.8333333333333335</v>
      </c>
      <c r="H8" s="24">
        <f t="shared" si="0"/>
        <v>4.5</v>
      </c>
      <c r="I8" s="24">
        <f t="shared" si="0"/>
        <v>20.5</v>
      </c>
      <c r="J8" s="24">
        <f t="shared" si="0"/>
        <v>15.166666666666666</v>
      </c>
      <c r="K8" s="12"/>
      <c r="L8" s="12"/>
      <c r="M8" s="12"/>
      <c r="N8" s="12"/>
      <c r="O8" s="12"/>
      <c r="P8" s="12"/>
      <c r="Q8" s="18"/>
      <c r="T8" s="23" t="s">
        <v>28</v>
      </c>
      <c r="U8" s="24">
        <f>AVERAGE(U2:U7)</f>
        <v>157.16666666666666</v>
      </c>
      <c r="V8" s="24">
        <f t="shared" ref="V8:Z8" si="1">AVERAGE(V2:V7)</f>
        <v>74.166666666666671</v>
      </c>
      <c r="W8" s="24">
        <f t="shared" si="1"/>
        <v>6.166666666666667</v>
      </c>
      <c r="X8" s="24">
        <f t="shared" si="1"/>
        <v>6</v>
      </c>
      <c r="Y8" s="24">
        <f t="shared" si="1"/>
        <v>32</v>
      </c>
      <c r="Z8" s="24">
        <f t="shared" si="1"/>
        <v>22.833333333333332</v>
      </c>
      <c r="AA8" s="14"/>
      <c r="AB8" s="14"/>
      <c r="AC8" s="14"/>
      <c r="AD8" s="14"/>
      <c r="AE8" s="14"/>
      <c r="AF8" s="14"/>
      <c r="AG8" s="18"/>
      <c r="AJ8" s="23" t="s">
        <v>28</v>
      </c>
      <c r="AK8" s="24">
        <f>AVERAGE(AK2:AK7)</f>
        <v>84.166666666666671</v>
      </c>
      <c r="AL8" s="24">
        <f t="shared" ref="AL8:AP8" si="2">AVERAGE(AL2:AL7)</f>
        <v>47.333333333333336</v>
      </c>
      <c r="AM8" s="24">
        <f t="shared" si="2"/>
        <v>0</v>
      </c>
      <c r="AN8" s="24">
        <f t="shared" si="2"/>
        <v>0.33333333333333331</v>
      </c>
      <c r="AO8" s="24">
        <f t="shared" si="2"/>
        <v>19</v>
      </c>
      <c r="AP8" s="24">
        <f t="shared" si="2"/>
        <v>13</v>
      </c>
      <c r="AQ8" s="12"/>
      <c r="AR8" s="12"/>
      <c r="AS8" s="12"/>
      <c r="AT8" s="12"/>
      <c r="AU8" s="12"/>
      <c r="AV8" s="12"/>
      <c r="AW8" s="18"/>
      <c r="AZ8" s="23" t="s">
        <v>28</v>
      </c>
      <c r="BA8" s="24">
        <f>AVERAGE(BA2:BA7)</f>
        <v>178</v>
      </c>
      <c r="BB8" s="24">
        <f t="shared" ref="BB8:BF8" si="3">AVERAGE(BB2:BB7)</f>
        <v>134.66666666666666</v>
      </c>
      <c r="BC8" s="24">
        <f t="shared" si="3"/>
        <v>0</v>
      </c>
      <c r="BD8" s="24">
        <f t="shared" si="3"/>
        <v>0</v>
      </c>
      <c r="BE8" s="24">
        <f t="shared" si="3"/>
        <v>35.666666666666664</v>
      </c>
      <c r="BF8" s="24">
        <f t="shared" si="3"/>
        <v>30.166666666666668</v>
      </c>
      <c r="BG8" s="12"/>
      <c r="BH8" s="12"/>
      <c r="BI8" s="12"/>
      <c r="BJ8" s="12"/>
      <c r="BK8" s="12"/>
      <c r="BL8" s="12"/>
      <c r="BP8" s="23" t="s">
        <v>28</v>
      </c>
      <c r="BQ8" s="24">
        <f>AVERAGE(BQ2:BQ7)</f>
        <v>218.66666666666666</v>
      </c>
      <c r="BR8" s="24">
        <f t="shared" ref="BR8:BV8" si="4">AVERAGE(BR2:BR7)</f>
        <v>156</v>
      </c>
      <c r="BS8" s="24">
        <f t="shared" si="4"/>
        <v>0</v>
      </c>
      <c r="BT8" s="24">
        <f t="shared" si="4"/>
        <v>1.5</v>
      </c>
      <c r="BU8" s="24">
        <f t="shared" si="4"/>
        <v>47.166666666666664</v>
      </c>
      <c r="BV8" s="24">
        <f t="shared" si="4"/>
        <v>34.333333333333336</v>
      </c>
      <c r="BW8" s="14"/>
      <c r="BX8" s="14"/>
      <c r="BY8" s="14"/>
      <c r="BZ8" s="14"/>
      <c r="CA8" s="14"/>
      <c r="CB8" s="14"/>
      <c r="CF8" s="23" t="s">
        <v>28</v>
      </c>
      <c r="CG8" s="24">
        <f>AVERAGE(CG2:CG7)</f>
        <v>327</v>
      </c>
      <c r="CH8" s="24">
        <f t="shared" ref="CH8:CL8" si="5">AVERAGE(CH2:CH7)</f>
        <v>207.16666666666666</v>
      </c>
      <c r="CI8" s="24">
        <f t="shared" si="5"/>
        <v>0</v>
      </c>
      <c r="CJ8" s="24">
        <f t="shared" si="5"/>
        <v>0</v>
      </c>
      <c r="CK8" s="24">
        <f t="shared" si="5"/>
        <v>72.5</v>
      </c>
      <c r="CL8" s="24">
        <f t="shared" si="5"/>
        <v>47.833333333333336</v>
      </c>
      <c r="CM8" s="12"/>
      <c r="CN8" s="12"/>
      <c r="CO8" s="12"/>
      <c r="CP8" s="12"/>
      <c r="CQ8" s="12"/>
      <c r="CR8" s="12"/>
    </row>
    <row r="9" spans="2:96" x14ac:dyDescent="0.3">
      <c r="D9" s="25" t="s">
        <v>29</v>
      </c>
      <c r="E9" s="26"/>
      <c r="F9" s="26"/>
      <c r="G9" s="26"/>
      <c r="H9" s="26"/>
      <c r="I9" s="26"/>
      <c r="J9" s="27"/>
      <c r="T9" s="28" t="s">
        <v>29</v>
      </c>
      <c r="U9" s="28"/>
      <c r="V9" s="28"/>
      <c r="W9" s="28"/>
      <c r="X9" s="28"/>
      <c r="Y9" s="28"/>
      <c r="Z9" s="28"/>
      <c r="AJ9" s="25" t="s">
        <v>29</v>
      </c>
      <c r="AK9" s="26"/>
      <c r="AL9" s="26"/>
      <c r="AM9" s="26"/>
      <c r="AN9" s="26"/>
      <c r="AO9" s="26"/>
      <c r="AP9" s="27"/>
      <c r="AZ9" s="25" t="s">
        <v>29</v>
      </c>
      <c r="BA9" s="26"/>
      <c r="BB9" s="26"/>
      <c r="BC9" s="26"/>
      <c r="BD9" s="26"/>
      <c r="BE9" s="26"/>
      <c r="BF9" s="27"/>
      <c r="BP9" s="28" t="s">
        <v>29</v>
      </c>
      <c r="BQ9" s="28"/>
      <c r="BR9" s="28"/>
      <c r="BS9" s="28"/>
      <c r="BT9" s="28"/>
      <c r="BU9" s="28"/>
      <c r="BV9" s="28"/>
      <c r="CF9" s="25" t="s">
        <v>29</v>
      </c>
      <c r="CG9" s="26"/>
      <c r="CH9" s="26"/>
      <c r="CI9" s="26"/>
      <c r="CJ9" s="26"/>
      <c r="CK9" s="26"/>
      <c r="CL9" s="27"/>
    </row>
    <row r="10" spans="2:96" x14ac:dyDescent="0.3">
      <c r="D10" s="29" t="s">
        <v>28</v>
      </c>
      <c r="E10" s="30">
        <f>SUBTOTAL(1,E12:E364)</f>
        <v>104.56666666666666</v>
      </c>
      <c r="F10" s="30">
        <f t="shared" ref="F10:J10" si="6">SUBTOTAL(1,F12:F364)</f>
        <v>54.416666666666664</v>
      </c>
      <c r="G10" s="30">
        <f t="shared" si="6"/>
        <v>11.383333333333333</v>
      </c>
      <c r="H10" s="30">
        <f t="shared" si="6"/>
        <v>12.85</v>
      </c>
      <c r="I10" s="30">
        <f t="shared" si="6"/>
        <v>21.483333333333334</v>
      </c>
      <c r="J10" s="30">
        <f t="shared" si="6"/>
        <v>14.55</v>
      </c>
      <c r="T10" s="23" t="s">
        <v>28</v>
      </c>
      <c r="U10" s="30">
        <f>SUBTOTAL(1,U12:U364)</f>
        <v>153.9</v>
      </c>
      <c r="V10" s="30">
        <f t="shared" ref="V10:Z10" si="7">SUBTOTAL(1,V12:V364)</f>
        <v>76.783333333333331</v>
      </c>
      <c r="W10" s="30">
        <f t="shared" si="7"/>
        <v>17.933333333333334</v>
      </c>
      <c r="X10" s="30">
        <f t="shared" si="7"/>
        <v>16.983333333333334</v>
      </c>
      <c r="Y10" s="30">
        <f t="shared" si="7"/>
        <v>32.666666666666664</v>
      </c>
      <c r="Z10" s="30">
        <f t="shared" si="7"/>
        <v>20.416666666666668</v>
      </c>
      <c r="AJ10" s="23" t="s">
        <v>28</v>
      </c>
      <c r="AK10" s="30">
        <f>SUBTOTAL(1,AK12:AK364)</f>
        <v>82.9</v>
      </c>
      <c r="AL10" s="30">
        <f t="shared" ref="AL10:AP10" si="8">SUBTOTAL(1,AL12:AL364)</f>
        <v>46.5</v>
      </c>
      <c r="AM10" s="30">
        <f t="shared" si="8"/>
        <v>7.35</v>
      </c>
      <c r="AN10" s="30">
        <f t="shared" si="8"/>
        <v>7.0333333333333332</v>
      </c>
      <c r="AO10" s="30">
        <f t="shared" si="8"/>
        <v>18.616666666666667</v>
      </c>
      <c r="AP10" s="30">
        <f t="shared" si="8"/>
        <v>12.383333333333333</v>
      </c>
      <c r="AZ10" s="23" t="s">
        <v>28</v>
      </c>
      <c r="BA10" s="30">
        <f>SUBTOTAL(1,BA12:BA364)</f>
        <v>176.41666666666666</v>
      </c>
      <c r="BB10" s="30">
        <f t="shared" ref="BB10:BF10" si="9">SUBTOTAL(1,BB12:BB364)</f>
        <v>114.31666666666666</v>
      </c>
      <c r="BC10" s="30">
        <f t="shared" si="9"/>
        <v>17.016666666666666</v>
      </c>
      <c r="BD10" s="30">
        <f t="shared" si="9"/>
        <v>16.066666666666666</v>
      </c>
      <c r="BE10" s="30">
        <f t="shared" si="9"/>
        <v>36.916666666666664</v>
      </c>
      <c r="BF10" s="30">
        <f t="shared" si="9"/>
        <v>27.316666666666666</v>
      </c>
      <c r="BP10" s="23" t="s">
        <v>28</v>
      </c>
      <c r="BQ10" s="30">
        <f>SUBTOTAL(1,BQ12:BQ364)</f>
        <v>217.25802380952379</v>
      </c>
      <c r="BR10" s="30">
        <f t="shared" ref="BR10:BV10" si="10">SUBTOTAL(1,BR12:BR364)</f>
        <v>131.83333333333334</v>
      </c>
      <c r="BS10" s="30">
        <f t="shared" si="10"/>
        <v>7.783047619047621</v>
      </c>
      <c r="BT10" s="30">
        <f t="shared" si="10"/>
        <v>8.7337619047619075</v>
      </c>
      <c r="BU10" s="30">
        <f t="shared" si="10"/>
        <v>45.35</v>
      </c>
      <c r="BV10" s="30">
        <f t="shared" si="10"/>
        <v>31.299714285714288</v>
      </c>
      <c r="CF10" s="23" t="s">
        <v>28</v>
      </c>
      <c r="CG10" s="30">
        <f>SUBTOTAL(1,CG12:CG364)</f>
        <v>339.7</v>
      </c>
      <c r="CH10" s="30">
        <f t="shared" ref="CH10:CL10" si="11">SUBTOTAL(1,CH12:CH364)</f>
        <v>203.18333333333334</v>
      </c>
      <c r="CI10" s="30">
        <f t="shared" si="11"/>
        <v>31.466666666666665</v>
      </c>
      <c r="CJ10" s="30">
        <f t="shared" si="11"/>
        <v>31.583333333333332</v>
      </c>
      <c r="CK10" s="30">
        <f t="shared" si="11"/>
        <v>69.166666666666671</v>
      </c>
      <c r="CL10" s="30">
        <f t="shared" si="11"/>
        <v>47.116666666666667</v>
      </c>
    </row>
    <row r="11" spans="2:96" x14ac:dyDescent="0.3">
      <c r="D11" s="3" t="s">
        <v>30</v>
      </c>
      <c r="E11" s="3" t="s">
        <v>3</v>
      </c>
      <c r="F11" s="3" t="s">
        <v>4</v>
      </c>
      <c r="G11" s="3" t="s">
        <v>5</v>
      </c>
      <c r="H11" s="3" t="s">
        <v>6</v>
      </c>
      <c r="I11" s="3" t="s">
        <v>7</v>
      </c>
      <c r="J11" s="3" t="s">
        <v>8</v>
      </c>
      <c r="T11" s="7" t="s">
        <v>30</v>
      </c>
      <c r="U11" s="7" t="s">
        <v>3</v>
      </c>
      <c r="V11" s="7" t="s">
        <v>4</v>
      </c>
      <c r="W11" s="7" t="s">
        <v>5</v>
      </c>
      <c r="X11" s="7" t="s">
        <v>6</v>
      </c>
      <c r="Y11" s="7" t="s">
        <v>7</v>
      </c>
      <c r="Z11" s="7" t="s">
        <v>8</v>
      </c>
      <c r="AJ11" s="3" t="s">
        <v>30</v>
      </c>
      <c r="AK11" s="3" t="s">
        <v>3</v>
      </c>
      <c r="AL11" s="3" t="s">
        <v>4</v>
      </c>
      <c r="AM11" s="3" t="s">
        <v>5</v>
      </c>
      <c r="AN11" s="3" t="s">
        <v>6</v>
      </c>
      <c r="AO11" s="3" t="s">
        <v>7</v>
      </c>
      <c r="AP11" s="3" t="s">
        <v>8</v>
      </c>
      <c r="AZ11" s="3" t="s">
        <v>30</v>
      </c>
      <c r="BA11" s="3" t="s">
        <v>3</v>
      </c>
      <c r="BB11" s="3" t="s">
        <v>4</v>
      </c>
      <c r="BC11" s="3" t="s">
        <v>5</v>
      </c>
      <c r="BD11" s="3" t="s">
        <v>6</v>
      </c>
      <c r="BE11" s="3" t="s">
        <v>7</v>
      </c>
      <c r="BF11" s="3" t="s">
        <v>8</v>
      </c>
      <c r="BP11" s="7" t="s">
        <v>30</v>
      </c>
      <c r="BQ11" s="7" t="s">
        <v>3</v>
      </c>
      <c r="BR11" s="7" t="s">
        <v>4</v>
      </c>
      <c r="BS11" s="7" t="s">
        <v>5</v>
      </c>
      <c r="BT11" s="7" t="s">
        <v>6</v>
      </c>
      <c r="BU11" s="7" t="s">
        <v>7</v>
      </c>
      <c r="BV11" s="7" t="s">
        <v>8</v>
      </c>
      <c r="CF11" s="3" t="s">
        <v>30</v>
      </c>
      <c r="CG11" s="3" t="s">
        <v>3</v>
      </c>
      <c r="CH11" s="3" t="s">
        <v>4</v>
      </c>
      <c r="CI11" s="3" t="s">
        <v>5</v>
      </c>
      <c r="CJ11" s="3" t="s">
        <v>6</v>
      </c>
      <c r="CK11" s="3" t="s">
        <v>7</v>
      </c>
      <c r="CL11" s="3" t="s">
        <v>8</v>
      </c>
    </row>
    <row r="12" spans="2:96" x14ac:dyDescent="0.3">
      <c r="D12" s="31">
        <v>45887</v>
      </c>
      <c r="E12" s="32">
        <v>82</v>
      </c>
      <c r="F12" s="32">
        <v>52</v>
      </c>
      <c r="G12" s="32">
        <v>13</v>
      </c>
      <c r="H12" s="32">
        <v>10</v>
      </c>
      <c r="I12" s="32">
        <v>25</v>
      </c>
      <c r="J12" s="32">
        <v>11</v>
      </c>
      <c r="T12" s="33">
        <v>45887</v>
      </c>
      <c r="U12" s="34">
        <v>101</v>
      </c>
      <c r="V12" s="34">
        <v>87</v>
      </c>
      <c r="W12" s="34">
        <v>11</v>
      </c>
      <c r="X12" s="34">
        <v>16</v>
      </c>
      <c r="Y12" s="34">
        <v>47</v>
      </c>
      <c r="Z12" s="34">
        <v>21</v>
      </c>
      <c r="AJ12" s="31">
        <v>45887</v>
      </c>
      <c r="AK12" s="3">
        <v>71</v>
      </c>
      <c r="AL12" s="3">
        <v>29</v>
      </c>
      <c r="AM12" s="3">
        <v>8</v>
      </c>
      <c r="AN12" s="3">
        <v>8</v>
      </c>
      <c r="AO12" s="3">
        <v>15</v>
      </c>
      <c r="AP12" s="3">
        <v>7</v>
      </c>
      <c r="AZ12" s="31">
        <v>45887</v>
      </c>
      <c r="BA12" s="32">
        <v>144</v>
      </c>
      <c r="BB12" s="32">
        <v>98</v>
      </c>
      <c r="BC12" s="32">
        <v>33</v>
      </c>
      <c r="BD12" s="32">
        <v>32</v>
      </c>
      <c r="BE12" s="32">
        <v>26</v>
      </c>
      <c r="BF12" s="32">
        <v>35</v>
      </c>
      <c r="BP12" s="33">
        <v>45887</v>
      </c>
      <c r="BQ12" s="34">
        <v>190.47</v>
      </c>
      <c r="BR12" s="34">
        <v>138</v>
      </c>
      <c r="BS12" s="34">
        <v>13</v>
      </c>
      <c r="BT12" s="34">
        <v>14</v>
      </c>
      <c r="BU12" s="34">
        <v>43</v>
      </c>
      <c r="BV12" s="34">
        <v>36</v>
      </c>
      <c r="CF12" s="31">
        <v>45887</v>
      </c>
      <c r="CG12" s="32">
        <v>292</v>
      </c>
      <c r="CH12" s="32">
        <v>27</v>
      </c>
      <c r="CI12" s="32">
        <v>1</v>
      </c>
      <c r="CJ12" s="32">
        <v>0</v>
      </c>
      <c r="CK12" s="32">
        <v>54</v>
      </c>
      <c r="CL12" s="32">
        <v>54</v>
      </c>
    </row>
    <row r="13" spans="2:96" x14ac:dyDescent="0.3">
      <c r="D13" s="3"/>
      <c r="E13" s="32">
        <v>109</v>
      </c>
      <c r="F13" s="32">
        <v>47</v>
      </c>
      <c r="G13" s="32">
        <v>21</v>
      </c>
      <c r="H13" s="32">
        <v>22</v>
      </c>
      <c r="I13" s="32">
        <v>32</v>
      </c>
      <c r="J13" s="32">
        <v>20</v>
      </c>
      <c r="T13" s="7"/>
      <c r="U13" s="34">
        <v>154</v>
      </c>
      <c r="V13" s="34">
        <v>65</v>
      </c>
      <c r="W13" s="34">
        <v>19</v>
      </c>
      <c r="X13" s="34">
        <v>16</v>
      </c>
      <c r="Y13" s="34">
        <v>32</v>
      </c>
      <c r="Z13" s="34">
        <v>16</v>
      </c>
      <c r="AJ13" s="3"/>
      <c r="AK13" s="3">
        <v>91</v>
      </c>
      <c r="AL13" s="3">
        <v>51</v>
      </c>
      <c r="AM13" s="3">
        <v>9</v>
      </c>
      <c r="AN13" s="3">
        <v>7</v>
      </c>
      <c r="AO13" s="3">
        <v>19</v>
      </c>
      <c r="AP13" s="3">
        <v>8</v>
      </c>
      <c r="AZ13" s="3"/>
      <c r="BA13" s="32">
        <v>200</v>
      </c>
      <c r="BB13" s="32">
        <v>157</v>
      </c>
      <c r="BC13" s="32">
        <v>48</v>
      </c>
      <c r="BD13" s="32">
        <v>39</v>
      </c>
      <c r="BE13" s="32">
        <v>51</v>
      </c>
      <c r="BF13" s="32">
        <v>40</v>
      </c>
      <c r="BP13" s="7"/>
      <c r="BQ13" s="34">
        <v>189</v>
      </c>
      <c r="BR13" s="34">
        <v>111</v>
      </c>
      <c r="BS13" s="34">
        <v>24</v>
      </c>
      <c r="BT13" s="34">
        <v>24</v>
      </c>
      <c r="BU13" s="34">
        <v>38</v>
      </c>
      <c r="BV13" s="34">
        <v>43</v>
      </c>
      <c r="CF13" s="3"/>
      <c r="CG13" s="32">
        <v>298</v>
      </c>
      <c r="CH13" s="32">
        <v>160</v>
      </c>
      <c r="CI13" s="32">
        <v>48</v>
      </c>
      <c r="CJ13" s="32">
        <v>46</v>
      </c>
      <c r="CK13" s="32">
        <v>71</v>
      </c>
      <c r="CL13" s="32">
        <v>65</v>
      </c>
    </row>
    <row r="14" spans="2:96" x14ac:dyDescent="0.3">
      <c r="D14" s="3"/>
      <c r="E14" s="32">
        <v>88</v>
      </c>
      <c r="F14" s="32">
        <v>57</v>
      </c>
      <c r="G14" s="32">
        <v>16</v>
      </c>
      <c r="H14" s="32">
        <v>19</v>
      </c>
      <c r="I14" s="32">
        <v>23</v>
      </c>
      <c r="J14" s="32">
        <v>15</v>
      </c>
      <c r="T14" s="7"/>
      <c r="U14" s="34">
        <v>141</v>
      </c>
      <c r="V14" s="34">
        <v>87</v>
      </c>
      <c r="W14" s="34">
        <v>34</v>
      </c>
      <c r="X14" s="34">
        <v>18</v>
      </c>
      <c r="Y14" s="34">
        <v>39</v>
      </c>
      <c r="Z14" s="34">
        <v>19</v>
      </c>
      <c r="AJ14" s="3"/>
      <c r="AK14" s="3">
        <v>89</v>
      </c>
      <c r="AL14" s="3">
        <v>36</v>
      </c>
      <c r="AM14" s="3">
        <v>16</v>
      </c>
      <c r="AN14" s="3">
        <v>14</v>
      </c>
      <c r="AO14" s="3">
        <v>24</v>
      </c>
      <c r="AP14" s="3">
        <v>14</v>
      </c>
      <c r="AZ14" s="3"/>
      <c r="BA14" s="32">
        <v>139</v>
      </c>
      <c r="BB14" s="32">
        <v>100</v>
      </c>
      <c r="BC14" s="32">
        <v>25</v>
      </c>
      <c r="BD14" s="32">
        <v>35</v>
      </c>
      <c r="BE14" s="32">
        <v>32</v>
      </c>
      <c r="BF14" s="32">
        <v>21</v>
      </c>
      <c r="BP14" s="7"/>
      <c r="BQ14" s="34">
        <v>181</v>
      </c>
      <c r="BR14" s="34">
        <v>96</v>
      </c>
      <c r="BS14" s="34">
        <v>20</v>
      </c>
      <c r="BT14" s="34">
        <v>20</v>
      </c>
      <c r="BU14" s="34">
        <v>35</v>
      </c>
      <c r="BV14" s="34">
        <v>21</v>
      </c>
      <c r="CF14" s="3"/>
      <c r="CG14" s="32">
        <v>342</v>
      </c>
      <c r="CH14" s="32">
        <v>151</v>
      </c>
      <c r="CI14" s="32">
        <v>36</v>
      </c>
      <c r="CJ14" s="32">
        <v>44</v>
      </c>
      <c r="CK14" s="32">
        <v>67</v>
      </c>
      <c r="CL14" s="32">
        <v>51</v>
      </c>
    </row>
    <row r="15" spans="2:96" x14ac:dyDescent="0.3">
      <c r="D15" s="3"/>
      <c r="E15" s="32">
        <v>89</v>
      </c>
      <c r="F15" s="32">
        <v>50</v>
      </c>
      <c r="G15" s="32">
        <v>14</v>
      </c>
      <c r="H15" s="32">
        <v>10</v>
      </c>
      <c r="I15" s="32">
        <v>23</v>
      </c>
      <c r="J15" s="32">
        <v>9</v>
      </c>
      <c r="T15" s="7"/>
      <c r="U15" s="34">
        <v>113</v>
      </c>
      <c r="V15" s="34">
        <v>72</v>
      </c>
      <c r="W15" s="34">
        <v>25</v>
      </c>
      <c r="X15" s="34">
        <v>17</v>
      </c>
      <c r="Y15" s="34">
        <v>29</v>
      </c>
      <c r="Z15" s="34">
        <v>14</v>
      </c>
      <c r="AJ15" s="3"/>
      <c r="AK15" s="3">
        <v>98</v>
      </c>
      <c r="AL15" s="3">
        <v>46</v>
      </c>
      <c r="AM15" s="3">
        <v>15</v>
      </c>
      <c r="AN15" s="3">
        <v>12</v>
      </c>
      <c r="AO15" s="3">
        <v>19</v>
      </c>
      <c r="AP15" s="3">
        <v>8</v>
      </c>
      <c r="AZ15" s="3"/>
      <c r="BA15" s="32">
        <v>167</v>
      </c>
      <c r="BB15" s="32">
        <v>100</v>
      </c>
      <c r="BC15" s="32">
        <v>19</v>
      </c>
      <c r="BD15" s="32">
        <v>18</v>
      </c>
      <c r="BE15" s="32">
        <v>34</v>
      </c>
      <c r="BF15" s="32">
        <v>17</v>
      </c>
      <c r="BP15" s="7"/>
      <c r="BQ15" s="34">
        <v>222</v>
      </c>
      <c r="BR15" s="34">
        <v>84</v>
      </c>
      <c r="BS15" s="34">
        <v>28</v>
      </c>
      <c r="BT15" s="34">
        <v>33</v>
      </c>
      <c r="BU15" s="34">
        <v>52</v>
      </c>
      <c r="BV15" s="34">
        <v>30</v>
      </c>
      <c r="CF15" s="3"/>
      <c r="CG15" s="32">
        <v>299</v>
      </c>
      <c r="CH15" s="32">
        <v>176</v>
      </c>
      <c r="CI15" s="32">
        <v>53</v>
      </c>
      <c r="CJ15" s="32">
        <v>42</v>
      </c>
      <c r="CK15" s="32">
        <v>62</v>
      </c>
      <c r="CL15" s="32">
        <v>52</v>
      </c>
    </row>
    <row r="16" spans="2:96" x14ac:dyDescent="0.3">
      <c r="D16" s="3"/>
      <c r="E16" s="32">
        <v>109</v>
      </c>
      <c r="F16" s="32">
        <v>69</v>
      </c>
      <c r="G16" s="32">
        <v>16</v>
      </c>
      <c r="H16" s="32">
        <v>21</v>
      </c>
      <c r="I16" s="32">
        <v>25</v>
      </c>
      <c r="J16" s="32">
        <v>13</v>
      </c>
      <c r="T16" s="7"/>
      <c r="U16" s="34">
        <v>147</v>
      </c>
      <c r="V16" s="34">
        <v>74</v>
      </c>
      <c r="W16" s="34">
        <v>21</v>
      </c>
      <c r="X16" s="34">
        <v>21</v>
      </c>
      <c r="Y16" s="34">
        <v>38</v>
      </c>
      <c r="Z16" s="34">
        <v>17</v>
      </c>
      <c r="AJ16" s="3"/>
      <c r="AK16" s="3">
        <v>87</v>
      </c>
      <c r="AL16" s="3">
        <v>47</v>
      </c>
      <c r="AM16" s="3">
        <v>11</v>
      </c>
      <c r="AN16" s="3">
        <v>13</v>
      </c>
      <c r="AO16" s="3">
        <v>23</v>
      </c>
      <c r="AP16" s="3">
        <v>17</v>
      </c>
      <c r="AZ16" s="3"/>
      <c r="BA16" s="32">
        <v>183</v>
      </c>
      <c r="BB16" s="32">
        <v>102</v>
      </c>
      <c r="BC16" s="32">
        <v>15</v>
      </c>
      <c r="BD16" s="32">
        <v>21</v>
      </c>
      <c r="BE16" s="32">
        <v>39</v>
      </c>
      <c r="BF16" s="32">
        <v>26</v>
      </c>
      <c r="BP16" s="7"/>
      <c r="BQ16" s="34">
        <v>218</v>
      </c>
      <c r="BR16" s="34">
        <v>104</v>
      </c>
      <c r="BS16" s="34">
        <v>28</v>
      </c>
      <c r="BT16" s="34">
        <v>24</v>
      </c>
      <c r="BU16" s="34">
        <v>51</v>
      </c>
      <c r="BV16" s="34">
        <v>30</v>
      </c>
      <c r="CF16" s="3"/>
      <c r="CG16" s="32">
        <v>306</v>
      </c>
      <c r="CH16" s="32">
        <v>179</v>
      </c>
      <c r="CI16" s="32">
        <v>47</v>
      </c>
      <c r="CJ16" s="32">
        <v>63</v>
      </c>
      <c r="CK16" s="32">
        <v>58</v>
      </c>
      <c r="CL16" s="32">
        <v>35</v>
      </c>
    </row>
    <row r="17" spans="4:90" x14ac:dyDescent="0.3">
      <c r="D17" s="3"/>
      <c r="E17" s="32">
        <v>88</v>
      </c>
      <c r="F17" s="32">
        <v>46</v>
      </c>
      <c r="G17" s="32">
        <v>7</v>
      </c>
      <c r="H17" s="32">
        <v>14</v>
      </c>
      <c r="I17" s="32">
        <v>23</v>
      </c>
      <c r="J17" s="32">
        <v>12</v>
      </c>
      <c r="T17" s="7"/>
      <c r="U17" s="34">
        <v>145</v>
      </c>
      <c r="V17" s="34">
        <v>76</v>
      </c>
      <c r="W17" s="34">
        <v>17</v>
      </c>
      <c r="X17" s="34">
        <v>21</v>
      </c>
      <c r="Y17" s="34">
        <v>23</v>
      </c>
      <c r="Z17" s="34">
        <v>22</v>
      </c>
      <c r="AE17" s="1"/>
      <c r="AJ17" s="3"/>
      <c r="AK17" s="3">
        <v>84</v>
      </c>
      <c r="AL17" s="3">
        <v>48</v>
      </c>
      <c r="AM17" s="3">
        <v>9</v>
      </c>
      <c r="AN17" s="3">
        <v>8</v>
      </c>
      <c r="AO17" s="3">
        <v>22</v>
      </c>
      <c r="AP17" s="3">
        <v>9</v>
      </c>
      <c r="AZ17" s="3"/>
      <c r="BA17" s="32">
        <v>136</v>
      </c>
      <c r="BB17" s="32">
        <v>100</v>
      </c>
      <c r="BC17" s="32">
        <v>25</v>
      </c>
      <c r="BD17" s="32">
        <v>19</v>
      </c>
      <c r="BE17" s="32">
        <v>41</v>
      </c>
      <c r="BF17" s="32">
        <v>29</v>
      </c>
      <c r="BP17" s="7"/>
      <c r="BQ17" s="34">
        <v>202</v>
      </c>
      <c r="BR17" s="34">
        <v>111</v>
      </c>
      <c r="BS17" s="34">
        <v>25</v>
      </c>
      <c r="BT17" s="34">
        <v>21</v>
      </c>
      <c r="BU17" s="34">
        <v>43</v>
      </c>
      <c r="BV17" s="34">
        <v>29</v>
      </c>
      <c r="CF17" s="3"/>
      <c r="CG17" s="32">
        <v>367</v>
      </c>
      <c r="CH17" s="32">
        <v>212</v>
      </c>
      <c r="CI17" s="32">
        <v>58</v>
      </c>
      <c r="CJ17" s="32">
        <v>57</v>
      </c>
      <c r="CK17" s="32">
        <v>69</v>
      </c>
      <c r="CL17" s="32">
        <v>45</v>
      </c>
    </row>
    <row r="18" spans="4:90" x14ac:dyDescent="0.3">
      <c r="D18" s="31">
        <v>45894</v>
      </c>
      <c r="E18" s="12">
        <v>109</v>
      </c>
      <c r="F18" s="12">
        <v>47</v>
      </c>
      <c r="G18" s="12">
        <v>21</v>
      </c>
      <c r="H18" s="12">
        <v>22</v>
      </c>
      <c r="I18" s="12">
        <v>32</v>
      </c>
      <c r="J18" s="12">
        <v>20</v>
      </c>
      <c r="T18" s="33">
        <v>45894</v>
      </c>
      <c r="U18" s="14">
        <v>154</v>
      </c>
      <c r="V18" s="14">
        <v>65</v>
      </c>
      <c r="W18" s="14">
        <v>19</v>
      </c>
      <c r="X18" s="14">
        <v>16</v>
      </c>
      <c r="Y18" s="14">
        <v>32</v>
      </c>
      <c r="Z18" s="14">
        <v>16</v>
      </c>
      <c r="AJ18" s="31">
        <v>45894</v>
      </c>
      <c r="AK18" s="12">
        <v>91</v>
      </c>
      <c r="AL18" s="12">
        <v>51</v>
      </c>
      <c r="AM18" s="12">
        <v>9</v>
      </c>
      <c r="AN18" s="12">
        <v>7</v>
      </c>
      <c r="AO18" s="12">
        <v>19</v>
      </c>
      <c r="AP18" s="12">
        <v>8</v>
      </c>
      <c r="AZ18" s="31">
        <v>45894</v>
      </c>
      <c r="BA18" s="12">
        <v>200</v>
      </c>
      <c r="BB18" s="12">
        <v>157</v>
      </c>
      <c r="BC18" s="12">
        <v>48</v>
      </c>
      <c r="BD18" s="12">
        <v>39</v>
      </c>
      <c r="BE18" s="12">
        <v>51</v>
      </c>
      <c r="BF18" s="12">
        <v>40</v>
      </c>
      <c r="BP18" s="33">
        <v>45894</v>
      </c>
      <c r="BQ18" s="14">
        <v>189</v>
      </c>
      <c r="BR18" s="14">
        <v>111</v>
      </c>
      <c r="BS18" s="14">
        <v>24</v>
      </c>
      <c r="BT18" s="14">
        <v>24</v>
      </c>
      <c r="BU18" s="14">
        <v>38</v>
      </c>
      <c r="BV18" s="14">
        <v>43</v>
      </c>
      <c r="CF18" s="31">
        <v>45894</v>
      </c>
      <c r="CG18" s="12">
        <v>298</v>
      </c>
      <c r="CH18" s="12">
        <v>160</v>
      </c>
      <c r="CI18" s="12">
        <v>48</v>
      </c>
      <c r="CJ18" s="12">
        <v>46</v>
      </c>
      <c r="CK18" s="12">
        <v>71</v>
      </c>
      <c r="CL18" s="12">
        <v>65</v>
      </c>
    </row>
    <row r="19" spans="4:90" x14ac:dyDescent="0.3">
      <c r="D19" s="3"/>
      <c r="E19" s="12">
        <v>88</v>
      </c>
      <c r="F19" s="12">
        <v>57</v>
      </c>
      <c r="G19" s="12">
        <v>16</v>
      </c>
      <c r="H19" s="12">
        <v>19</v>
      </c>
      <c r="I19" s="12">
        <v>23</v>
      </c>
      <c r="J19" s="12">
        <v>15</v>
      </c>
      <c r="T19" s="7"/>
      <c r="U19" s="14">
        <v>141</v>
      </c>
      <c r="V19" s="14">
        <v>87</v>
      </c>
      <c r="W19" s="14">
        <v>34</v>
      </c>
      <c r="X19" s="14">
        <v>18</v>
      </c>
      <c r="Y19" s="14">
        <v>39</v>
      </c>
      <c r="Z19" s="14">
        <v>19</v>
      </c>
      <c r="AJ19" s="3"/>
      <c r="AK19" s="12">
        <v>89</v>
      </c>
      <c r="AL19" s="12">
        <v>36</v>
      </c>
      <c r="AM19" s="12">
        <v>16</v>
      </c>
      <c r="AN19" s="12">
        <v>14</v>
      </c>
      <c r="AO19" s="12">
        <v>24</v>
      </c>
      <c r="AP19" s="12">
        <v>14</v>
      </c>
      <c r="AZ19" s="3"/>
      <c r="BA19" s="12">
        <v>139</v>
      </c>
      <c r="BB19" s="12">
        <v>100</v>
      </c>
      <c r="BC19" s="12">
        <v>25</v>
      </c>
      <c r="BD19" s="12">
        <v>35</v>
      </c>
      <c r="BE19" s="12">
        <v>32</v>
      </c>
      <c r="BF19" s="12">
        <v>21</v>
      </c>
      <c r="BP19" s="7"/>
      <c r="BQ19" s="14">
        <v>181</v>
      </c>
      <c r="BR19" s="14">
        <v>96</v>
      </c>
      <c r="BS19" s="14">
        <v>20</v>
      </c>
      <c r="BT19" s="14">
        <v>20</v>
      </c>
      <c r="BU19" s="14">
        <v>35</v>
      </c>
      <c r="BV19" s="14">
        <v>21</v>
      </c>
      <c r="CF19" s="3"/>
      <c r="CG19" s="12">
        <v>342</v>
      </c>
      <c r="CH19" s="12">
        <v>151</v>
      </c>
      <c r="CI19" s="12">
        <v>36</v>
      </c>
      <c r="CJ19" s="12">
        <v>44</v>
      </c>
      <c r="CK19" s="12">
        <v>67</v>
      </c>
      <c r="CL19" s="12">
        <v>51</v>
      </c>
    </row>
    <row r="20" spans="4:90" x14ac:dyDescent="0.3">
      <c r="D20" s="3"/>
      <c r="E20" s="12">
        <v>89</v>
      </c>
      <c r="F20" s="12">
        <v>50</v>
      </c>
      <c r="G20" s="12">
        <v>14</v>
      </c>
      <c r="H20" s="12">
        <v>10</v>
      </c>
      <c r="I20" s="12">
        <v>23</v>
      </c>
      <c r="J20" s="12">
        <v>9</v>
      </c>
      <c r="T20" s="7"/>
      <c r="U20" s="14">
        <v>113</v>
      </c>
      <c r="V20" s="14">
        <v>72</v>
      </c>
      <c r="W20" s="14">
        <v>25</v>
      </c>
      <c r="X20" s="14">
        <v>17</v>
      </c>
      <c r="Y20" s="14">
        <v>29</v>
      </c>
      <c r="Z20" s="14">
        <v>14</v>
      </c>
      <c r="AJ20" s="3"/>
      <c r="AK20" s="12">
        <v>98</v>
      </c>
      <c r="AL20" s="12">
        <v>46</v>
      </c>
      <c r="AM20" s="12">
        <v>15</v>
      </c>
      <c r="AN20" s="12">
        <v>12</v>
      </c>
      <c r="AO20" s="12">
        <v>19</v>
      </c>
      <c r="AP20" s="12">
        <v>8</v>
      </c>
      <c r="AZ20" s="3"/>
      <c r="BA20" s="12">
        <v>167</v>
      </c>
      <c r="BB20" s="12">
        <v>100</v>
      </c>
      <c r="BC20" s="12">
        <v>19</v>
      </c>
      <c r="BD20" s="12">
        <v>18</v>
      </c>
      <c r="BE20" s="12">
        <v>34</v>
      </c>
      <c r="BF20" s="12">
        <v>17</v>
      </c>
      <c r="BP20" s="7"/>
      <c r="BQ20" s="14">
        <v>222</v>
      </c>
      <c r="BR20" s="14">
        <v>84</v>
      </c>
      <c r="BS20" s="14">
        <v>28</v>
      </c>
      <c r="BT20" s="14">
        <v>33</v>
      </c>
      <c r="BU20" s="14">
        <v>52</v>
      </c>
      <c r="BV20" s="14">
        <v>30</v>
      </c>
      <c r="CF20" s="3"/>
      <c r="CG20" s="12">
        <v>299</v>
      </c>
      <c r="CH20" s="12">
        <v>176</v>
      </c>
      <c r="CI20" s="12">
        <v>53</v>
      </c>
      <c r="CJ20" s="12">
        <v>42</v>
      </c>
      <c r="CK20" s="12">
        <v>62</v>
      </c>
      <c r="CL20" s="12">
        <v>52</v>
      </c>
    </row>
    <row r="21" spans="4:90" x14ac:dyDescent="0.3">
      <c r="D21" s="3"/>
      <c r="E21" s="12">
        <v>109</v>
      </c>
      <c r="F21" s="12">
        <v>69</v>
      </c>
      <c r="G21" s="12">
        <v>16</v>
      </c>
      <c r="H21" s="12">
        <v>21</v>
      </c>
      <c r="I21" s="12">
        <v>25</v>
      </c>
      <c r="J21" s="12">
        <v>13</v>
      </c>
      <c r="T21" s="7"/>
      <c r="U21" s="14">
        <v>147</v>
      </c>
      <c r="V21" s="14">
        <v>74</v>
      </c>
      <c r="W21" s="14">
        <v>21</v>
      </c>
      <c r="X21" s="14">
        <v>21</v>
      </c>
      <c r="Y21" s="14">
        <v>38</v>
      </c>
      <c r="Z21" s="14">
        <v>17</v>
      </c>
      <c r="AJ21" s="3"/>
      <c r="AK21" s="12">
        <v>87</v>
      </c>
      <c r="AL21" s="12">
        <v>47</v>
      </c>
      <c r="AM21" s="12">
        <v>11</v>
      </c>
      <c r="AN21" s="12">
        <v>13</v>
      </c>
      <c r="AO21" s="12">
        <v>23</v>
      </c>
      <c r="AP21" s="12">
        <v>17</v>
      </c>
      <c r="AZ21" s="3"/>
      <c r="BA21" s="12">
        <v>183</v>
      </c>
      <c r="BB21" s="12">
        <v>102</v>
      </c>
      <c r="BC21" s="12">
        <v>15</v>
      </c>
      <c r="BD21" s="12">
        <v>21</v>
      </c>
      <c r="BE21" s="12">
        <v>39</v>
      </c>
      <c r="BF21" s="12">
        <v>26</v>
      </c>
      <c r="BP21" s="7"/>
      <c r="BQ21" s="14">
        <v>218</v>
      </c>
      <c r="BR21" s="14">
        <v>104</v>
      </c>
      <c r="BS21" s="14">
        <v>28</v>
      </c>
      <c r="BT21" s="14">
        <v>24</v>
      </c>
      <c r="BU21" s="14">
        <v>51</v>
      </c>
      <c r="BV21" s="14">
        <v>30</v>
      </c>
      <c r="CF21" s="3"/>
      <c r="CG21" s="12">
        <v>306</v>
      </c>
      <c r="CH21" s="12">
        <v>179</v>
      </c>
      <c r="CI21" s="12">
        <v>47</v>
      </c>
      <c r="CJ21" s="12">
        <v>63</v>
      </c>
      <c r="CK21" s="12">
        <v>58</v>
      </c>
      <c r="CL21" s="12">
        <v>35</v>
      </c>
    </row>
    <row r="22" spans="4:90" x14ac:dyDescent="0.3">
      <c r="D22" s="3"/>
      <c r="E22" s="12">
        <v>88</v>
      </c>
      <c r="F22" s="12">
        <v>46</v>
      </c>
      <c r="G22" s="12">
        <v>7</v>
      </c>
      <c r="H22" s="12">
        <v>14</v>
      </c>
      <c r="I22" s="12">
        <v>23</v>
      </c>
      <c r="J22" s="12">
        <v>12</v>
      </c>
      <c r="T22" s="7"/>
      <c r="U22" s="14">
        <v>145</v>
      </c>
      <c r="V22" s="14">
        <v>76</v>
      </c>
      <c r="W22" s="14">
        <v>17</v>
      </c>
      <c r="X22" s="14">
        <v>21</v>
      </c>
      <c r="Y22" s="14">
        <v>23</v>
      </c>
      <c r="Z22" s="14">
        <v>22</v>
      </c>
      <c r="AJ22" s="3"/>
      <c r="AK22" s="12">
        <v>84</v>
      </c>
      <c r="AL22" s="12">
        <v>48</v>
      </c>
      <c r="AM22" s="12">
        <v>9</v>
      </c>
      <c r="AN22" s="12">
        <v>8</v>
      </c>
      <c r="AO22" s="12">
        <v>22</v>
      </c>
      <c r="AP22" s="12">
        <v>9</v>
      </c>
      <c r="AZ22" s="3"/>
      <c r="BA22" s="12">
        <v>136</v>
      </c>
      <c r="BB22" s="12">
        <v>100</v>
      </c>
      <c r="BC22" s="12">
        <v>25</v>
      </c>
      <c r="BD22" s="12">
        <v>19</v>
      </c>
      <c r="BE22" s="12">
        <v>41</v>
      </c>
      <c r="BF22" s="12">
        <v>29</v>
      </c>
      <c r="BP22" s="7"/>
      <c r="BQ22" s="14">
        <v>202</v>
      </c>
      <c r="BR22" s="14">
        <v>111</v>
      </c>
      <c r="BS22" s="14">
        <v>25</v>
      </c>
      <c r="BT22" s="14">
        <v>21</v>
      </c>
      <c r="BU22" s="14">
        <v>43</v>
      </c>
      <c r="BV22" s="14">
        <v>29</v>
      </c>
      <c r="CF22" s="3"/>
      <c r="CG22" s="12">
        <v>367</v>
      </c>
      <c r="CH22" s="12">
        <v>212</v>
      </c>
      <c r="CI22" s="12">
        <v>58</v>
      </c>
      <c r="CJ22" s="12">
        <v>57</v>
      </c>
      <c r="CK22" s="12">
        <v>69</v>
      </c>
      <c r="CL22" s="12">
        <v>45</v>
      </c>
    </row>
    <row r="23" spans="4:90" x14ac:dyDescent="0.3">
      <c r="D23" s="3"/>
      <c r="E23" s="12">
        <v>98</v>
      </c>
      <c r="F23" s="12">
        <v>69</v>
      </c>
      <c r="G23" s="12">
        <v>14</v>
      </c>
      <c r="H23" s="12">
        <v>16</v>
      </c>
      <c r="I23" s="12">
        <v>27</v>
      </c>
      <c r="J23" s="12">
        <v>16</v>
      </c>
      <c r="T23" s="7"/>
      <c r="U23" s="14">
        <v>181</v>
      </c>
      <c r="V23" s="14">
        <v>85</v>
      </c>
      <c r="W23" s="14">
        <v>20</v>
      </c>
      <c r="X23" s="14">
        <v>20</v>
      </c>
      <c r="Y23" s="14">
        <v>38</v>
      </c>
      <c r="Z23" s="14">
        <v>22</v>
      </c>
      <c r="AJ23" s="3"/>
      <c r="AK23" s="12">
        <v>92</v>
      </c>
      <c r="AL23" s="12">
        <v>38</v>
      </c>
      <c r="AM23" s="12">
        <v>12</v>
      </c>
      <c r="AN23" s="12">
        <v>9</v>
      </c>
      <c r="AO23" s="12">
        <v>15</v>
      </c>
      <c r="AP23" s="12">
        <v>16</v>
      </c>
      <c r="AZ23" s="3"/>
      <c r="BA23" s="12">
        <v>180</v>
      </c>
      <c r="BB23" s="12">
        <v>94</v>
      </c>
      <c r="BC23" s="12">
        <v>27</v>
      </c>
      <c r="BD23" s="12">
        <v>24</v>
      </c>
      <c r="BE23" s="12">
        <v>26</v>
      </c>
      <c r="BF23" s="12">
        <v>23</v>
      </c>
      <c r="BP23" s="7"/>
      <c r="BQ23" s="14">
        <v>240</v>
      </c>
      <c r="BR23" s="14">
        <v>138</v>
      </c>
      <c r="BS23" s="14">
        <v>33</v>
      </c>
      <c r="BT23" s="14">
        <v>34</v>
      </c>
      <c r="BU23" s="14">
        <v>36</v>
      </c>
      <c r="BV23" s="14">
        <v>26</v>
      </c>
      <c r="CF23" s="3"/>
      <c r="CG23" s="12">
        <v>389</v>
      </c>
      <c r="CH23" s="12">
        <v>247</v>
      </c>
      <c r="CI23" s="12">
        <v>40</v>
      </c>
      <c r="CJ23" s="12">
        <v>48</v>
      </c>
      <c r="CK23" s="12">
        <v>72</v>
      </c>
      <c r="CL23" s="12">
        <v>47</v>
      </c>
    </row>
    <row r="24" spans="4:90" x14ac:dyDescent="0.3">
      <c r="D24" s="31">
        <v>45901</v>
      </c>
      <c r="E24" s="12">
        <v>88</v>
      </c>
      <c r="F24" s="12">
        <v>57</v>
      </c>
      <c r="G24" s="12">
        <v>16</v>
      </c>
      <c r="H24" s="12">
        <v>19</v>
      </c>
      <c r="I24" s="12">
        <v>23</v>
      </c>
      <c r="J24" s="12">
        <v>15</v>
      </c>
      <c r="T24" s="33">
        <v>45901</v>
      </c>
      <c r="U24" s="14">
        <v>141</v>
      </c>
      <c r="V24" s="14">
        <v>87</v>
      </c>
      <c r="W24" s="14">
        <v>34</v>
      </c>
      <c r="X24" s="14">
        <v>18</v>
      </c>
      <c r="Y24" s="14">
        <v>39</v>
      </c>
      <c r="Z24" s="14">
        <v>19</v>
      </c>
      <c r="AJ24" s="31">
        <v>45901</v>
      </c>
      <c r="AK24" s="12">
        <v>89</v>
      </c>
      <c r="AL24" s="12">
        <v>36</v>
      </c>
      <c r="AM24" s="12">
        <v>16</v>
      </c>
      <c r="AN24" s="12">
        <v>14</v>
      </c>
      <c r="AO24" s="12">
        <v>24</v>
      </c>
      <c r="AP24" s="12">
        <v>14</v>
      </c>
      <c r="AZ24" s="31">
        <v>45901</v>
      </c>
      <c r="BA24" s="12">
        <v>139</v>
      </c>
      <c r="BB24" s="12">
        <v>100</v>
      </c>
      <c r="BC24" s="12">
        <v>25</v>
      </c>
      <c r="BD24" s="12">
        <v>35</v>
      </c>
      <c r="BE24" s="12">
        <v>32</v>
      </c>
      <c r="BF24" s="12">
        <v>21</v>
      </c>
      <c r="BP24" s="33">
        <v>45901</v>
      </c>
      <c r="BQ24" s="14">
        <v>181</v>
      </c>
      <c r="BR24" s="14">
        <v>96</v>
      </c>
      <c r="BS24" s="14">
        <v>20</v>
      </c>
      <c r="BT24" s="14">
        <v>20</v>
      </c>
      <c r="BU24" s="14">
        <v>35</v>
      </c>
      <c r="BV24" s="14">
        <v>21</v>
      </c>
      <c r="CF24" s="31">
        <v>45901</v>
      </c>
      <c r="CG24" s="12">
        <v>342</v>
      </c>
      <c r="CH24" s="12">
        <v>151</v>
      </c>
      <c r="CI24" s="12">
        <v>36</v>
      </c>
      <c r="CJ24" s="12">
        <v>44</v>
      </c>
      <c r="CK24" s="12">
        <v>67</v>
      </c>
      <c r="CL24" s="12">
        <v>51</v>
      </c>
    </row>
    <row r="25" spans="4:90" x14ac:dyDescent="0.3">
      <c r="D25" s="3"/>
      <c r="E25" s="12">
        <v>89</v>
      </c>
      <c r="F25" s="12">
        <v>50</v>
      </c>
      <c r="G25" s="12">
        <v>14</v>
      </c>
      <c r="H25" s="12">
        <v>10</v>
      </c>
      <c r="I25" s="12">
        <v>23</v>
      </c>
      <c r="J25" s="12">
        <v>9</v>
      </c>
      <c r="T25" s="7"/>
      <c r="U25" s="14">
        <v>113</v>
      </c>
      <c r="V25" s="14">
        <v>72</v>
      </c>
      <c r="W25" s="14">
        <v>25</v>
      </c>
      <c r="X25" s="14">
        <v>17</v>
      </c>
      <c r="Y25" s="14">
        <v>29</v>
      </c>
      <c r="Z25" s="14">
        <v>14</v>
      </c>
      <c r="AJ25" s="3"/>
      <c r="AK25" s="12">
        <v>98</v>
      </c>
      <c r="AL25" s="12">
        <v>46</v>
      </c>
      <c r="AM25" s="12">
        <v>15</v>
      </c>
      <c r="AN25" s="12">
        <v>12</v>
      </c>
      <c r="AO25" s="12">
        <v>19</v>
      </c>
      <c r="AP25" s="12">
        <v>8</v>
      </c>
      <c r="AZ25" s="3"/>
      <c r="BA25" s="12">
        <v>167</v>
      </c>
      <c r="BB25" s="12">
        <v>100</v>
      </c>
      <c r="BC25" s="12">
        <v>19</v>
      </c>
      <c r="BD25" s="12">
        <v>18</v>
      </c>
      <c r="BE25" s="12">
        <v>34</v>
      </c>
      <c r="BF25" s="12">
        <v>17</v>
      </c>
      <c r="BP25" s="7"/>
      <c r="BQ25" s="14">
        <v>222</v>
      </c>
      <c r="BR25" s="14">
        <v>84</v>
      </c>
      <c r="BS25" s="14">
        <v>28</v>
      </c>
      <c r="BT25" s="14">
        <v>33</v>
      </c>
      <c r="BU25" s="14">
        <v>52</v>
      </c>
      <c r="BV25" s="14">
        <v>30</v>
      </c>
      <c r="CF25" s="3"/>
      <c r="CG25" s="12">
        <v>299</v>
      </c>
      <c r="CH25" s="12">
        <v>176</v>
      </c>
      <c r="CI25" s="12">
        <v>53</v>
      </c>
      <c r="CJ25" s="12">
        <v>42</v>
      </c>
      <c r="CK25" s="12">
        <v>62</v>
      </c>
      <c r="CL25" s="12">
        <v>52</v>
      </c>
    </row>
    <row r="26" spans="4:90" x14ac:dyDescent="0.3">
      <c r="D26" s="3"/>
      <c r="E26" s="12">
        <v>109</v>
      </c>
      <c r="F26" s="12">
        <v>69</v>
      </c>
      <c r="G26" s="12">
        <v>16</v>
      </c>
      <c r="H26" s="12">
        <v>21</v>
      </c>
      <c r="I26" s="12">
        <v>25</v>
      </c>
      <c r="J26" s="12">
        <v>13</v>
      </c>
      <c r="T26" s="7"/>
      <c r="U26" s="14">
        <v>147</v>
      </c>
      <c r="V26" s="14">
        <v>74</v>
      </c>
      <c r="W26" s="14">
        <v>21</v>
      </c>
      <c r="X26" s="14">
        <v>21</v>
      </c>
      <c r="Y26" s="14">
        <v>38</v>
      </c>
      <c r="Z26" s="14">
        <v>17</v>
      </c>
      <c r="AJ26" s="3"/>
      <c r="AK26" s="12">
        <v>87</v>
      </c>
      <c r="AL26" s="12">
        <v>47</v>
      </c>
      <c r="AM26" s="12">
        <v>11</v>
      </c>
      <c r="AN26" s="12">
        <v>13</v>
      </c>
      <c r="AO26" s="12">
        <v>23</v>
      </c>
      <c r="AP26" s="12">
        <v>17</v>
      </c>
      <c r="AZ26" s="3"/>
      <c r="BA26" s="12">
        <v>183</v>
      </c>
      <c r="BB26" s="12">
        <v>102</v>
      </c>
      <c r="BC26" s="12">
        <v>15</v>
      </c>
      <c r="BD26" s="12">
        <v>21</v>
      </c>
      <c r="BE26" s="12">
        <v>39</v>
      </c>
      <c r="BF26" s="12">
        <v>26</v>
      </c>
      <c r="BP26" s="7"/>
      <c r="BQ26" s="14">
        <v>218</v>
      </c>
      <c r="BR26" s="14">
        <v>104</v>
      </c>
      <c r="BS26" s="14">
        <v>28</v>
      </c>
      <c r="BT26" s="14">
        <v>24</v>
      </c>
      <c r="BU26" s="14">
        <v>51</v>
      </c>
      <c r="BV26" s="14">
        <v>30</v>
      </c>
      <c r="CF26" s="3"/>
      <c r="CG26" s="12">
        <v>306</v>
      </c>
      <c r="CH26" s="12">
        <v>179</v>
      </c>
      <c r="CI26" s="12">
        <v>47</v>
      </c>
      <c r="CJ26" s="12">
        <v>63</v>
      </c>
      <c r="CK26" s="12">
        <v>58</v>
      </c>
      <c r="CL26" s="12">
        <v>35</v>
      </c>
    </row>
    <row r="27" spans="4:90" x14ac:dyDescent="0.3">
      <c r="D27" s="3"/>
      <c r="E27" s="12">
        <v>88</v>
      </c>
      <c r="F27" s="12">
        <v>46</v>
      </c>
      <c r="G27" s="12">
        <v>7</v>
      </c>
      <c r="H27" s="12">
        <v>14</v>
      </c>
      <c r="I27" s="12">
        <v>23</v>
      </c>
      <c r="J27" s="12">
        <v>12</v>
      </c>
      <c r="T27" s="7"/>
      <c r="U27" s="14">
        <v>145</v>
      </c>
      <c r="V27" s="14">
        <v>76</v>
      </c>
      <c r="W27" s="14">
        <v>17</v>
      </c>
      <c r="X27" s="14">
        <v>21</v>
      </c>
      <c r="Y27" s="14">
        <v>23</v>
      </c>
      <c r="Z27" s="14">
        <v>22</v>
      </c>
      <c r="AJ27" s="3"/>
      <c r="AK27" s="12">
        <v>84</v>
      </c>
      <c r="AL27" s="12">
        <v>48</v>
      </c>
      <c r="AM27" s="12">
        <v>9</v>
      </c>
      <c r="AN27" s="12">
        <v>8</v>
      </c>
      <c r="AO27" s="12">
        <v>22</v>
      </c>
      <c r="AP27" s="12">
        <v>9</v>
      </c>
      <c r="AZ27" s="3"/>
      <c r="BA27" s="12">
        <v>136</v>
      </c>
      <c r="BB27" s="12">
        <v>100</v>
      </c>
      <c r="BC27" s="12">
        <v>25</v>
      </c>
      <c r="BD27" s="12">
        <v>19</v>
      </c>
      <c r="BE27" s="12">
        <v>41</v>
      </c>
      <c r="BF27" s="12">
        <v>29</v>
      </c>
      <c r="BP27" s="7"/>
      <c r="BQ27" s="14">
        <v>202</v>
      </c>
      <c r="BR27" s="14">
        <v>111</v>
      </c>
      <c r="BS27" s="14">
        <v>25</v>
      </c>
      <c r="BT27" s="14">
        <v>21</v>
      </c>
      <c r="BU27" s="14">
        <v>43</v>
      </c>
      <c r="BV27" s="14">
        <v>29</v>
      </c>
      <c r="CF27" s="3"/>
      <c r="CG27" s="12">
        <v>367</v>
      </c>
      <c r="CH27" s="12">
        <v>212</v>
      </c>
      <c r="CI27" s="12">
        <v>58</v>
      </c>
      <c r="CJ27" s="12">
        <v>57</v>
      </c>
      <c r="CK27" s="12">
        <v>69</v>
      </c>
      <c r="CL27" s="12">
        <v>45</v>
      </c>
    </row>
    <row r="28" spans="4:90" x14ac:dyDescent="0.3">
      <c r="D28" s="3"/>
      <c r="E28" s="12">
        <v>98</v>
      </c>
      <c r="F28" s="12">
        <v>69</v>
      </c>
      <c r="G28" s="12">
        <v>14</v>
      </c>
      <c r="H28" s="12">
        <v>16</v>
      </c>
      <c r="I28" s="12">
        <v>27</v>
      </c>
      <c r="J28" s="12">
        <v>16</v>
      </c>
      <c r="T28" s="7"/>
      <c r="U28" s="14">
        <v>181</v>
      </c>
      <c r="V28" s="14">
        <v>85</v>
      </c>
      <c r="W28" s="14">
        <v>20</v>
      </c>
      <c r="X28" s="14">
        <v>20</v>
      </c>
      <c r="Y28" s="14">
        <v>38</v>
      </c>
      <c r="Z28" s="14">
        <v>22</v>
      </c>
      <c r="AJ28" s="3"/>
      <c r="AK28" s="12">
        <v>92</v>
      </c>
      <c r="AL28" s="12">
        <v>38</v>
      </c>
      <c r="AM28" s="12">
        <v>12</v>
      </c>
      <c r="AN28" s="12">
        <v>9</v>
      </c>
      <c r="AO28" s="12">
        <v>15</v>
      </c>
      <c r="AP28" s="12">
        <v>16</v>
      </c>
      <c r="AZ28" s="3"/>
      <c r="BA28" s="12">
        <v>180</v>
      </c>
      <c r="BB28" s="12">
        <v>94</v>
      </c>
      <c r="BC28" s="12">
        <v>27</v>
      </c>
      <c r="BD28" s="12">
        <v>24</v>
      </c>
      <c r="BE28" s="12">
        <v>26</v>
      </c>
      <c r="BF28" s="12">
        <v>23</v>
      </c>
      <c r="BP28" s="7"/>
      <c r="BQ28" s="14">
        <v>240</v>
      </c>
      <c r="BR28" s="14">
        <v>138</v>
      </c>
      <c r="BS28" s="14">
        <v>33</v>
      </c>
      <c r="BT28" s="14">
        <v>34</v>
      </c>
      <c r="BU28" s="14">
        <v>36</v>
      </c>
      <c r="BV28" s="14">
        <v>26</v>
      </c>
      <c r="CF28" s="3"/>
      <c r="CG28" s="12">
        <v>389</v>
      </c>
      <c r="CH28" s="12">
        <v>247</v>
      </c>
      <c r="CI28" s="12">
        <v>40</v>
      </c>
      <c r="CJ28" s="12">
        <v>48</v>
      </c>
      <c r="CK28" s="12">
        <v>72</v>
      </c>
      <c r="CL28" s="12">
        <v>47</v>
      </c>
    </row>
    <row r="29" spans="4:90" x14ac:dyDescent="0.3">
      <c r="D29" s="3"/>
      <c r="E29" s="12">
        <v>107</v>
      </c>
      <c r="F29" s="12">
        <v>59</v>
      </c>
      <c r="G29" s="12">
        <v>14</v>
      </c>
      <c r="H29" s="12">
        <v>15</v>
      </c>
      <c r="I29" s="12">
        <v>18</v>
      </c>
      <c r="J29" s="12">
        <v>15</v>
      </c>
      <c r="T29" s="7"/>
      <c r="U29" s="14">
        <v>151</v>
      </c>
      <c r="V29" s="14">
        <v>87</v>
      </c>
      <c r="W29" s="14">
        <v>19</v>
      </c>
      <c r="X29" s="14">
        <v>23</v>
      </c>
      <c r="Y29" s="14">
        <v>27</v>
      </c>
      <c r="Z29" s="14">
        <v>21</v>
      </c>
      <c r="AJ29" s="3"/>
      <c r="AK29" s="12">
        <v>70</v>
      </c>
      <c r="AL29" s="12">
        <v>64</v>
      </c>
      <c r="AM29" s="12">
        <v>11</v>
      </c>
      <c r="AN29" s="12">
        <v>9</v>
      </c>
      <c r="AO29" s="12">
        <v>14</v>
      </c>
      <c r="AP29" s="12">
        <v>10</v>
      </c>
      <c r="AZ29" s="3"/>
      <c r="BA29" s="12">
        <v>161</v>
      </c>
      <c r="BB29" s="12">
        <v>112</v>
      </c>
      <c r="BC29" s="12">
        <v>36</v>
      </c>
      <c r="BD29" s="12">
        <v>25</v>
      </c>
      <c r="BE29" s="12">
        <v>42</v>
      </c>
      <c r="BF29" s="12">
        <v>31</v>
      </c>
      <c r="BP29" s="7"/>
      <c r="BQ29" s="14">
        <v>236</v>
      </c>
      <c r="BR29" s="14">
        <v>136</v>
      </c>
      <c r="BS29" s="14">
        <v>25</v>
      </c>
      <c r="BT29" s="14">
        <v>27</v>
      </c>
      <c r="BU29" s="14">
        <v>41</v>
      </c>
      <c r="BV29" s="14">
        <v>31</v>
      </c>
      <c r="CF29" s="3"/>
      <c r="CG29" s="12">
        <v>407</v>
      </c>
      <c r="CH29" s="12">
        <v>256</v>
      </c>
      <c r="CI29" s="12">
        <v>54</v>
      </c>
      <c r="CJ29" s="12">
        <v>43</v>
      </c>
      <c r="CK29" s="12">
        <v>77</v>
      </c>
      <c r="CL29" s="12">
        <v>44</v>
      </c>
    </row>
    <row r="30" spans="4:90" x14ac:dyDescent="0.3">
      <c r="D30" s="31">
        <v>45908</v>
      </c>
      <c r="E30" s="12">
        <v>88</v>
      </c>
      <c r="F30" s="12">
        <v>57</v>
      </c>
      <c r="G30" s="12">
        <v>16</v>
      </c>
      <c r="H30" s="12">
        <v>19</v>
      </c>
      <c r="I30" s="12">
        <v>23</v>
      </c>
      <c r="J30" s="12">
        <v>15</v>
      </c>
      <c r="T30" s="33">
        <v>45908</v>
      </c>
      <c r="U30" s="14">
        <v>113</v>
      </c>
      <c r="V30" s="14">
        <v>72</v>
      </c>
      <c r="W30" s="14">
        <v>25</v>
      </c>
      <c r="X30" s="14">
        <v>17</v>
      </c>
      <c r="Y30" s="14">
        <v>29</v>
      </c>
      <c r="Z30" s="14">
        <v>14</v>
      </c>
      <c r="AJ30" s="31">
        <v>45908</v>
      </c>
      <c r="AK30" s="12">
        <v>98</v>
      </c>
      <c r="AL30" s="12">
        <v>46</v>
      </c>
      <c r="AM30" s="12">
        <v>15</v>
      </c>
      <c r="AN30" s="12">
        <v>12</v>
      </c>
      <c r="AO30" s="12">
        <v>19</v>
      </c>
      <c r="AP30" s="12">
        <v>8</v>
      </c>
      <c r="AZ30" s="31">
        <v>45908</v>
      </c>
      <c r="BA30" s="12">
        <v>222</v>
      </c>
      <c r="BB30" s="12">
        <v>84</v>
      </c>
      <c r="BC30" s="12">
        <v>28</v>
      </c>
      <c r="BD30" s="12">
        <v>33</v>
      </c>
      <c r="BE30" s="12">
        <v>52</v>
      </c>
      <c r="BF30" s="12">
        <v>30</v>
      </c>
      <c r="BP30" s="33">
        <v>45908</v>
      </c>
      <c r="BQ30" s="14">
        <v>222</v>
      </c>
      <c r="BR30" s="14">
        <v>84</v>
      </c>
      <c r="BS30" s="14">
        <v>28</v>
      </c>
      <c r="BT30" s="14">
        <v>33</v>
      </c>
      <c r="BU30" s="14">
        <v>52</v>
      </c>
      <c r="BV30" s="14">
        <v>30</v>
      </c>
      <c r="CF30" s="31">
        <v>45908</v>
      </c>
      <c r="CG30" s="12">
        <v>299</v>
      </c>
      <c r="CH30" s="12">
        <v>176</v>
      </c>
      <c r="CI30" s="12">
        <v>53</v>
      </c>
      <c r="CJ30" s="12">
        <v>42</v>
      </c>
      <c r="CK30" s="12">
        <v>62</v>
      </c>
      <c r="CL30" s="12">
        <v>52</v>
      </c>
    </row>
    <row r="31" spans="4:90" x14ac:dyDescent="0.3">
      <c r="D31" s="3"/>
      <c r="E31" s="12">
        <v>89</v>
      </c>
      <c r="F31" s="12">
        <v>50</v>
      </c>
      <c r="G31" s="12">
        <v>14</v>
      </c>
      <c r="H31" s="12">
        <v>10</v>
      </c>
      <c r="I31" s="12">
        <v>23</v>
      </c>
      <c r="J31" s="12">
        <v>9</v>
      </c>
      <c r="T31" s="7"/>
      <c r="U31" s="14">
        <v>147</v>
      </c>
      <c r="V31" s="14">
        <v>74</v>
      </c>
      <c r="W31" s="14">
        <v>21</v>
      </c>
      <c r="X31" s="14">
        <v>21</v>
      </c>
      <c r="Y31" s="14">
        <v>38</v>
      </c>
      <c r="Z31" s="14">
        <v>17</v>
      </c>
      <c r="AJ31" s="3"/>
      <c r="AK31" s="12">
        <v>87</v>
      </c>
      <c r="AL31" s="12">
        <v>47</v>
      </c>
      <c r="AM31" s="12">
        <v>11</v>
      </c>
      <c r="AN31" s="12">
        <v>13</v>
      </c>
      <c r="AO31" s="12">
        <v>23</v>
      </c>
      <c r="AP31" s="12">
        <v>17</v>
      </c>
      <c r="AZ31" s="3"/>
      <c r="BA31" s="12">
        <v>218</v>
      </c>
      <c r="BB31" s="12">
        <v>104</v>
      </c>
      <c r="BC31" s="12">
        <v>28</v>
      </c>
      <c r="BD31" s="12">
        <v>24</v>
      </c>
      <c r="BE31" s="12">
        <v>51</v>
      </c>
      <c r="BF31" s="12">
        <v>30</v>
      </c>
      <c r="BP31" s="7"/>
      <c r="BQ31" s="14">
        <v>218</v>
      </c>
      <c r="BR31" s="14">
        <v>104</v>
      </c>
      <c r="BS31" s="14">
        <v>28</v>
      </c>
      <c r="BT31" s="14">
        <v>24</v>
      </c>
      <c r="BU31" s="14">
        <v>51</v>
      </c>
      <c r="BV31" s="14">
        <v>30</v>
      </c>
      <c r="CF31" s="3"/>
      <c r="CG31" s="12">
        <v>306</v>
      </c>
      <c r="CH31" s="12">
        <v>179</v>
      </c>
      <c r="CI31" s="12">
        <v>47</v>
      </c>
      <c r="CJ31" s="12">
        <v>63</v>
      </c>
      <c r="CK31" s="12">
        <v>58</v>
      </c>
      <c r="CL31" s="12">
        <v>35</v>
      </c>
    </row>
    <row r="32" spans="4:90" x14ac:dyDescent="0.3">
      <c r="D32" s="3"/>
      <c r="E32" s="12">
        <v>109</v>
      </c>
      <c r="F32" s="12">
        <v>69</v>
      </c>
      <c r="G32" s="12">
        <v>16</v>
      </c>
      <c r="H32" s="12">
        <v>21</v>
      </c>
      <c r="I32" s="12">
        <v>25</v>
      </c>
      <c r="J32" s="12">
        <v>13</v>
      </c>
      <c r="T32" s="7"/>
      <c r="U32" s="14">
        <v>145</v>
      </c>
      <c r="V32" s="14">
        <v>76</v>
      </c>
      <c r="W32" s="14">
        <v>17</v>
      </c>
      <c r="X32" s="14">
        <v>21</v>
      </c>
      <c r="Y32" s="14">
        <v>23</v>
      </c>
      <c r="Z32" s="14">
        <v>22</v>
      </c>
      <c r="AJ32" s="3"/>
      <c r="AK32" s="12">
        <v>84</v>
      </c>
      <c r="AL32" s="12">
        <v>48</v>
      </c>
      <c r="AM32" s="12">
        <v>9</v>
      </c>
      <c r="AN32" s="12">
        <v>8</v>
      </c>
      <c r="AO32" s="12">
        <v>22</v>
      </c>
      <c r="AP32" s="12">
        <v>9</v>
      </c>
      <c r="AZ32" s="3"/>
      <c r="BA32" s="12">
        <v>202</v>
      </c>
      <c r="BB32" s="12">
        <v>111</v>
      </c>
      <c r="BC32" s="12">
        <v>25</v>
      </c>
      <c r="BD32" s="12">
        <v>21</v>
      </c>
      <c r="BE32" s="12">
        <v>43</v>
      </c>
      <c r="BF32" s="12">
        <v>29</v>
      </c>
      <c r="BP32" s="7"/>
      <c r="BQ32" s="14">
        <v>202</v>
      </c>
      <c r="BR32" s="14">
        <v>111</v>
      </c>
      <c r="BS32" s="14">
        <v>25</v>
      </c>
      <c r="BT32" s="14">
        <v>21</v>
      </c>
      <c r="BU32" s="14">
        <v>43</v>
      </c>
      <c r="BV32" s="14">
        <v>29</v>
      </c>
      <c r="CF32" s="3"/>
      <c r="CG32" s="12">
        <v>367</v>
      </c>
      <c r="CH32" s="12">
        <v>212</v>
      </c>
      <c r="CI32" s="12">
        <v>58</v>
      </c>
      <c r="CJ32" s="12">
        <v>57</v>
      </c>
      <c r="CK32" s="12">
        <v>69</v>
      </c>
      <c r="CL32" s="12">
        <v>45</v>
      </c>
    </row>
    <row r="33" spans="4:90" x14ac:dyDescent="0.3">
      <c r="D33" s="3"/>
      <c r="E33" s="12">
        <v>88</v>
      </c>
      <c r="F33" s="12">
        <v>46</v>
      </c>
      <c r="G33" s="12">
        <v>7</v>
      </c>
      <c r="H33" s="12">
        <v>14</v>
      </c>
      <c r="I33" s="12">
        <v>23</v>
      </c>
      <c r="J33" s="12">
        <v>12</v>
      </c>
      <c r="T33" s="7"/>
      <c r="U33" s="14">
        <v>181</v>
      </c>
      <c r="V33" s="14">
        <v>85</v>
      </c>
      <c r="W33" s="14">
        <v>20</v>
      </c>
      <c r="X33" s="14">
        <v>20</v>
      </c>
      <c r="Y33" s="14">
        <v>38</v>
      </c>
      <c r="Z33" s="14">
        <v>22</v>
      </c>
      <c r="AJ33" s="3"/>
      <c r="AK33" s="12">
        <v>92</v>
      </c>
      <c r="AL33" s="12">
        <v>38</v>
      </c>
      <c r="AM33" s="12">
        <v>12</v>
      </c>
      <c r="AN33" s="12">
        <v>9</v>
      </c>
      <c r="AO33" s="12">
        <v>15</v>
      </c>
      <c r="AP33" s="12">
        <v>16</v>
      </c>
      <c r="AZ33" s="3"/>
      <c r="BA33" s="12">
        <v>240</v>
      </c>
      <c r="BB33" s="12">
        <v>138</v>
      </c>
      <c r="BC33" s="12">
        <v>33</v>
      </c>
      <c r="BD33" s="12">
        <v>34</v>
      </c>
      <c r="BE33" s="12">
        <v>36</v>
      </c>
      <c r="BF33" s="12">
        <v>26</v>
      </c>
      <c r="BP33" s="7"/>
      <c r="BQ33" s="14">
        <v>240</v>
      </c>
      <c r="BR33" s="14">
        <v>138</v>
      </c>
      <c r="BS33" s="14">
        <v>33</v>
      </c>
      <c r="BT33" s="14">
        <v>34</v>
      </c>
      <c r="BU33" s="14">
        <v>36</v>
      </c>
      <c r="BV33" s="14">
        <v>26</v>
      </c>
      <c r="CF33" s="3"/>
      <c r="CG33" s="12">
        <v>389</v>
      </c>
      <c r="CH33" s="12">
        <v>247</v>
      </c>
      <c r="CI33" s="12">
        <v>40</v>
      </c>
      <c r="CJ33" s="12">
        <v>48</v>
      </c>
      <c r="CK33" s="12">
        <v>72</v>
      </c>
      <c r="CL33" s="12">
        <v>47</v>
      </c>
    </row>
    <row r="34" spans="4:90" x14ac:dyDescent="0.3">
      <c r="D34" s="3"/>
      <c r="E34" s="12">
        <v>98</v>
      </c>
      <c r="F34" s="12">
        <v>69</v>
      </c>
      <c r="G34" s="12">
        <v>14</v>
      </c>
      <c r="H34" s="12">
        <v>16</v>
      </c>
      <c r="I34" s="12">
        <v>27</v>
      </c>
      <c r="J34" s="12">
        <v>16</v>
      </c>
      <c r="T34" s="7"/>
      <c r="U34" s="14">
        <v>151</v>
      </c>
      <c r="V34" s="14">
        <v>87</v>
      </c>
      <c r="W34" s="14">
        <v>19</v>
      </c>
      <c r="X34" s="14">
        <v>23</v>
      </c>
      <c r="Y34" s="14">
        <v>27</v>
      </c>
      <c r="Z34" s="14">
        <v>21</v>
      </c>
      <c r="AJ34" s="3"/>
      <c r="AK34" s="12">
        <v>70</v>
      </c>
      <c r="AL34" s="12">
        <v>64</v>
      </c>
      <c r="AM34" s="12">
        <v>11</v>
      </c>
      <c r="AN34" s="12">
        <v>9</v>
      </c>
      <c r="AO34" s="12">
        <v>14</v>
      </c>
      <c r="AP34" s="12">
        <v>10</v>
      </c>
      <c r="AZ34" s="3"/>
      <c r="BA34" s="12">
        <v>236</v>
      </c>
      <c r="BB34" s="12">
        <v>136</v>
      </c>
      <c r="BC34" s="12">
        <v>25</v>
      </c>
      <c r="BD34" s="12">
        <v>27</v>
      </c>
      <c r="BE34" s="12">
        <v>41</v>
      </c>
      <c r="BF34" s="12">
        <v>31</v>
      </c>
      <c r="BP34" s="7"/>
      <c r="BQ34" s="14">
        <v>236</v>
      </c>
      <c r="BR34" s="14">
        <v>136</v>
      </c>
      <c r="BS34" s="14">
        <v>25</v>
      </c>
      <c r="BT34" s="14">
        <v>27</v>
      </c>
      <c r="BU34" s="14">
        <v>41</v>
      </c>
      <c r="BV34" s="14">
        <v>31</v>
      </c>
      <c r="CF34" s="3"/>
      <c r="CG34" s="12">
        <v>407</v>
      </c>
      <c r="CH34" s="12">
        <v>256</v>
      </c>
      <c r="CI34" s="12">
        <v>54</v>
      </c>
      <c r="CJ34" s="12">
        <v>43</v>
      </c>
      <c r="CK34" s="12">
        <v>77</v>
      </c>
      <c r="CL34" s="12">
        <v>44</v>
      </c>
    </row>
    <row r="35" spans="4:90" x14ac:dyDescent="0.3">
      <c r="D35" s="3"/>
      <c r="E35" s="12">
        <v>107</v>
      </c>
      <c r="F35" s="12">
        <v>59</v>
      </c>
      <c r="G35" s="12">
        <v>14</v>
      </c>
      <c r="H35" s="12">
        <v>15</v>
      </c>
      <c r="I35" s="12">
        <v>18</v>
      </c>
      <c r="J35" s="12">
        <v>15</v>
      </c>
      <c r="T35" s="7"/>
      <c r="U35" s="14">
        <v>181</v>
      </c>
      <c r="V35" s="14">
        <v>78</v>
      </c>
      <c r="W35" s="14">
        <v>27</v>
      </c>
      <c r="X35" s="14">
        <v>24</v>
      </c>
      <c r="Y35" s="14">
        <v>40</v>
      </c>
      <c r="Z35" s="14">
        <v>20</v>
      </c>
      <c r="AJ35" s="3"/>
      <c r="AK35" s="12">
        <v>63</v>
      </c>
      <c r="AL35" s="12">
        <v>37</v>
      </c>
      <c r="AM35" s="12">
        <v>10</v>
      </c>
      <c r="AN35" s="12">
        <v>13</v>
      </c>
      <c r="AO35" s="12">
        <v>20</v>
      </c>
      <c r="AP35" s="12">
        <v>13</v>
      </c>
      <c r="AZ35" s="3"/>
      <c r="BA35" s="12">
        <v>229</v>
      </c>
      <c r="BB35" s="12">
        <v>150</v>
      </c>
      <c r="BC35" s="12">
        <v>21</v>
      </c>
      <c r="BD35" s="12">
        <v>22</v>
      </c>
      <c r="BE35" s="12">
        <v>43</v>
      </c>
      <c r="BF35" s="12">
        <v>24</v>
      </c>
      <c r="BP35" s="7"/>
      <c r="BQ35" s="14">
        <v>229</v>
      </c>
      <c r="BR35" s="14">
        <v>150</v>
      </c>
      <c r="BS35" s="14">
        <v>21</v>
      </c>
      <c r="BT35" s="14">
        <v>22</v>
      </c>
      <c r="BU35" s="14">
        <v>43</v>
      </c>
      <c r="BV35" s="14">
        <v>24</v>
      </c>
      <c r="CF35" s="3"/>
      <c r="CG35" s="12">
        <v>348</v>
      </c>
      <c r="CH35" s="12">
        <v>203</v>
      </c>
      <c r="CI35" s="12">
        <v>54</v>
      </c>
      <c r="CJ35" s="12">
        <v>50</v>
      </c>
      <c r="CK35" s="12">
        <v>62</v>
      </c>
      <c r="CL35" s="12">
        <v>50</v>
      </c>
    </row>
    <row r="36" spans="4:90" x14ac:dyDescent="0.3">
      <c r="D36" s="31">
        <v>45915</v>
      </c>
      <c r="E36" s="12">
        <v>109</v>
      </c>
      <c r="F36" s="12">
        <v>69</v>
      </c>
      <c r="G36" s="12">
        <v>16</v>
      </c>
      <c r="H36" s="12">
        <v>21</v>
      </c>
      <c r="I36" s="12">
        <v>25</v>
      </c>
      <c r="J36" s="12">
        <v>13</v>
      </c>
      <c r="T36" s="33">
        <v>45915</v>
      </c>
      <c r="U36" s="14">
        <v>147</v>
      </c>
      <c r="V36" s="14">
        <v>74</v>
      </c>
      <c r="W36" s="14">
        <v>21</v>
      </c>
      <c r="X36" s="14">
        <v>21</v>
      </c>
      <c r="Y36" s="14">
        <v>38</v>
      </c>
      <c r="Z36" s="14">
        <v>17</v>
      </c>
      <c r="AJ36" s="31">
        <v>45915</v>
      </c>
      <c r="AK36" s="12">
        <v>87</v>
      </c>
      <c r="AL36" s="12">
        <v>47</v>
      </c>
      <c r="AM36" s="12">
        <v>11</v>
      </c>
      <c r="AN36" s="12">
        <v>13</v>
      </c>
      <c r="AO36" s="12">
        <v>23</v>
      </c>
      <c r="AP36" s="12">
        <v>17</v>
      </c>
      <c r="AZ36" s="31">
        <v>45915</v>
      </c>
      <c r="BA36" s="12">
        <v>183</v>
      </c>
      <c r="BB36" s="12">
        <v>102</v>
      </c>
      <c r="BC36" s="12">
        <v>15</v>
      </c>
      <c r="BD36" s="12">
        <v>21</v>
      </c>
      <c r="BE36" s="12">
        <v>39</v>
      </c>
      <c r="BF36" s="12">
        <v>26</v>
      </c>
      <c r="BP36" s="33">
        <v>45915</v>
      </c>
      <c r="BQ36" s="14" cm="1">
        <f t="array" ref="BQ36:BQ41">TRANSPOSE(CHOOSE({1,2,3,4,5,6}, '[1]Wegmans Cross Dock'!L1163,'[1]Wegmans Cross Dock'!L1187,'[1]Wegmans Cross Dock'!L1211,'[1]Wegmans Cross Dock'!L1235,'[1]Wegmans Cross Dock'!L1259,'[1]Wegmans Cross Dock'!L1283))</f>
        <v>111.0019047619046</v>
      </c>
      <c r="BR36" s="14" cm="1">
        <f t="array" ref="BR36:BR41">TRANSPOSE(CHOOSE({1,2,3,4,5,6}, '[1]Wegmans Cross Dock'!M1163,'[1]Wegmans Cross Dock'!M1187,'[1]Wegmans Cross Dock'!M1211,'[1]Wegmans Cross Dock'!M1235,'[1]Wegmans Cross Dock'!M1259,'[1]Wegmans Cross Dock'!M1283))</f>
        <v>31</v>
      </c>
      <c r="BS36" s="14" cm="1">
        <f t="array" ref="BS36:BS41">TRANSPOSE(CHOOSE({1,2,3,4,5,6}, '[1]Wegmans Cross Dock'!N1163,'[1]Wegmans Cross Dock'!N1187,'[1]Wegmans Cross Dock'!N1211,'[1]Wegmans Cross Dock'!N1235,'[1]Wegmans Cross Dock'!N1259,'[1]Wegmans Cross Dock'!N1283))</f>
        <v>11.997142857142876</v>
      </c>
      <c r="BT36" s="14" cm="1">
        <f t="array" ref="BT36:BT41">TRANSPOSE(CHOOSE({1,2,3,4,5,6}, '[1]Wegmans Cross Dock'!O1163,'[1]Wegmans Cross Dock'!O1187,'[1]Wegmans Cross Dock'!O1211,'[1]Wegmans Cross Dock'!O1235,'[1]Wegmans Cross Dock'!O1259,'[1]Wegmans Cross Dock'!O1283))</f>
        <v>23.004285714285743</v>
      </c>
      <c r="BU36" s="14" cm="1">
        <f t="array" ref="BU36:BU41">TRANSPOSE(CHOOSE({1,2,3,4,5,6}, '[1]Wegmans Cross Dock'!P1163,'[1]Wegmans Cross Dock'!P1187,'[1]Wegmans Cross Dock'!P1211,'[1]Wegmans Cross Dock'!P1235,'[1]Wegmans Cross Dock'!P1259,'[1]Wegmans Cross Dock'!P1283))</f>
        <v>66</v>
      </c>
      <c r="BV36" s="14" cm="1">
        <f t="array" ref="BV36:BV41">TRANSPOSE(CHOOSE({1,2,3,4,5,6}, '[1]Wegmans Cross Dock'!Q1163,'[1]Wegmans Cross Dock'!Q1187,'[1]Wegmans Cross Dock'!Q1211,'[1]Wegmans Cross Dock'!Q1235,'[1]Wegmans Cross Dock'!Q1259,'[1]Wegmans Cross Dock'!Q1283))</f>
        <v>22.997142857142876</v>
      </c>
      <c r="CF36" s="31">
        <v>45915</v>
      </c>
      <c r="CG36" s="12">
        <v>306</v>
      </c>
      <c r="CH36" s="12">
        <v>179</v>
      </c>
      <c r="CI36" s="12">
        <v>47</v>
      </c>
      <c r="CJ36" s="12">
        <v>63</v>
      </c>
      <c r="CK36" s="12">
        <v>58</v>
      </c>
      <c r="CL36" s="12">
        <v>35</v>
      </c>
    </row>
    <row r="37" spans="4:90" x14ac:dyDescent="0.3">
      <c r="D37" s="3"/>
      <c r="E37" s="12">
        <v>88</v>
      </c>
      <c r="F37" s="12">
        <v>46</v>
      </c>
      <c r="G37" s="12">
        <v>7</v>
      </c>
      <c r="H37" s="12">
        <v>14</v>
      </c>
      <c r="I37" s="12">
        <v>23</v>
      </c>
      <c r="J37" s="12">
        <v>12</v>
      </c>
      <c r="T37" s="7"/>
      <c r="U37" s="14">
        <v>145</v>
      </c>
      <c r="V37" s="14">
        <v>76</v>
      </c>
      <c r="W37" s="14">
        <v>17</v>
      </c>
      <c r="X37" s="14">
        <v>21</v>
      </c>
      <c r="Y37" s="14">
        <v>23</v>
      </c>
      <c r="Z37" s="14">
        <v>22</v>
      </c>
      <c r="AJ37" s="3"/>
      <c r="AK37" s="12">
        <v>84</v>
      </c>
      <c r="AL37" s="12">
        <v>48</v>
      </c>
      <c r="AM37" s="12">
        <v>9</v>
      </c>
      <c r="AN37" s="12">
        <v>8</v>
      </c>
      <c r="AO37" s="12">
        <v>22</v>
      </c>
      <c r="AP37" s="12">
        <v>9</v>
      </c>
      <c r="AZ37" s="3"/>
      <c r="BA37" s="12">
        <v>136</v>
      </c>
      <c r="BB37" s="12">
        <v>100</v>
      </c>
      <c r="BC37" s="12">
        <v>25</v>
      </c>
      <c r="BD37" s="12">
        <v>19</v>
      </c>
      <c r="BE37" s="12">
        <v>41</v>
      </c>
      <c r="BF37" s="12">
        <v>29</v>
      </c>
      <c r="BP37" s="7"/>
      <c r="BQ37" s="14">
        <v>125.0019047619046</v>
      </c>
      <c r="BR37" s="14">
        <v>15</v>
      </c>
      <c r="BS37" s="14">
        <v>26.997142857142876</v>
      </c>
      <c r="BT37" s="14">
        <v>36.004285714285743</v>
      </c>
      <c r="BU37" s="14">
        <v>62</v>
      </c>
      <c r="BV37" s="14">
        <v>35.997142857142876</v>
      </c>
      <c r="CF37" s="3"/>
      <c r="CG37" s="12">
        <v>367</v>
      </c>
      <c r="CH37" s="12">
        <v>212</v>
      </c>
      <c r="CI37" s="12">
        <v>58</v>
      </c>
      <c r="CJ37" s="12">
        <v>57</v>
      </c>
      <c r="CK37" s="12">
        <v>69</v>
      </c>
      <c r="CL37" s="12">
        <v>45</v>
      </c>
    </row>
    <row r="38" spans="4:90" x14ac:dyDescent="0.3">
      <c r="D38" s="3"/>
      <c r="E38" s="12">
        <v>98</v>
      </c>
      <c r="F38" s="12">
        <v>69</v>
      </c>
      <c r="G38" s="12">
        <v>14</v>
      </c>
      <c r="H38" s="12">
        <v>16</v>
      </c>
      <c r="I38" s="12">
        <v>27</v>
      </c>
      <c r="J38" s="12">
        <v>16</v>
      </c>
      <c r="T38" s="7"/>
      <c r="U38" s="14">
        <v>181</v>
      </c>
      <c r="V38" s="14">
        <v>85</v>
      </c>
      <c r="W38" s="14">
        <v>20</v>
      </c>
      <c r="X38" s="14">
        <v>20</v>
      </c>
      <c r="Y38" s="14">
        <v>38</v>
      </c>
      <c r="Z38" s="14">
        <v>22</v>
      </c>
      <c r="AJ38" s="3"/>
      <c r="AK38" s="12">
        <v>92</v>
      </c>
      <c r="AL38" s="12">
        <v>38</v>
      </c>
      <c r="AM38" s="12">
        <v>12</v>
      </c>
      <c r="AN38" s="12">
        <v>9</v>
      </c>
      <c r="AO38" s="12">
        <v>15</v>
      </c>
      <c r="AP38" s="12">
        <v>16</v>
      </c>
      <c r="AZ38" s="3"/>
      <c r="BA38" s="12">
        <v>180</v>
      </c>
      <c r="BB38" s="12">
        <v>94</v>
      </c>
      <c r="BC38" s="12">
        <v>27</v>
      </c>
      <c r="BD38" s="12">
        <v>24</v>
      </c>
      <c r="BE38" s="12">
        <v>26</v>
      </c>
      <c r="BF38" s="12">
        <v>23</v>
      </c>
      <c r="BP38" s="7"/>
      <c r="BQ38" s="14">
        <v>159.0019047619046</v>
      </c>
      <c r="BR38" s="14">
        <v>73</v>
      </c>
      <c r="BS38" s="14">
        <v>20.997142857142876</v>
      </c>
      <c r="BT38" s="14">
        <v>30.004285714285743</v>
      </c>
      <c r="BU38" s="14">
        <v>42</v>
      </c>
      <c r="BV38" s="14">
        <v>47.997142857142876</v>
      </c>
      <c r="CF38" s="3"/>
      <c r="CG38" s="12">
        <v>389</v>
      </c>
      <c r="CH38" s="12">
        <v>247</v>
      </c>
      <c r="CI38" s="12">
        <v>40</v>
      </c>
      <c r="CJ38" s="12">
        <v>48</v>
      </c>
      <c r="CK38" s="12">
        <v>72</v>
      </c>
      <c r="CL38" s="12">
        <v>47</v>
      </c>
    </row>
    <row r="39" spans="4:90" x14ac:dyDescent="0.3">
      <c r="D39" s="3"/>
      <c r="E39" s="12">
        <v>107</v>
      </c>
      <c r="F39" s="12">
        <v>59</v>
      </c>
      <c r="G39" s="12">
        <v>14</v>
      </c>
      <c r="H39" s="12">
        <v>15</v>
      </c>
      <c r="I39" s="12">
        <v>18</v>
      </c>
      <c r="J39" s="12">
        <v>15</v>
      </c>
      <c r="T39" s="7"/>
      <c r="U39" s="14">
        <v>151</v>
      </c>
      <c r="V39" s="14">
        <v>87</v>
      </c>
      <c r="W39" s="14">
        <v>19</v>
      </c>
      <c r="X39" s="14">
        <v>23</v>
      </c>
      <c r="Y39" s="14">
        <v>27</v>
      </c>
      <c r="Z39" s="14">
        <v>21</v>
      </c>
      <c r="AJ39" s="3"/>
      <c r="AK39" s="12">
        <v>70</v>
      </c>
      <c r="AL39" s="12">
        <v>64</v>
      </c>
      <c r="AM39" s="12">
        <v>11</v>
      </c>
      <c r="AN39" s="12">
        <v>9</v>
      </c>
      <c r="AO39" s="12">
        <v>14</v>
      </c>
      <c r="AP39" s="12">
        <v>10</v>
      </c>
      <c r="AZ39" s="3"/>
      <c r="BA39" s="12">
        <v>161</v>
      </c>
      <c r="BB39" s="12">
        <v>112</v>
      </c>
      <c r="BC39" s="12">
        <v>36</v>
      </c>
      <c r="BD39" s="12">
        <v>25</v>
      </c>
      <c r="BE39" s="12">
        <v>42</v>
      </c>
      <c r="BF39" s="12">
        <v>31</v>
      </c>
      <c r="BP39" s="7"/>
      <c r="BQ39" s="14">
        <v>194.0019047619046</v>
      </c>
      <c r="BR39" s="14">
        <v>166</v>
      </c>
      <c r="BS39" s="14">
        <v>-128.00285714285712</v>
      </c>
      <c r="BT39" s="14">
        <v>-127.99571428571426</v>
      </c>
      <c r="BU39" s="14">
        <v>67</v>
      </c>
      <c r="BV39" s="14">
        <v>26.997142857142876</v>
      </c>
      <c r="CF39" s="3"/>
      <c r="CG39" s="12">
        <v>407</v>
      </c>
      <c r="CH39" s="12">
        <v>256</v>
      </c>
      <c r="CI39" s="12">
        <v>54</v>
      </c>
      <c r="CJ39" s="12">
        <v>43</v>
      </c>
      <c r="CK39" s="12">
        <v>77</v>
      </c>
      <c r="CL39" s="12">
        <v>44</v>
      </c>
    </row>
    <row r="40" spans="4:90" x14ac:dyDescent="0.3">
      <c r="D40" s="3"/>
      <c r="E40" s="12">
        <v>108</v>
      </c>
      <c r="F40" s="12">
        <v>49</v>
      </c>
      <c r="G40" s="12">
        <v>16</v>
      </c>
      <c r="H40" s="12">
        <v>14</v>
      </c>
      <c r="I40" s="12">
        <v>14</v>
      </c>
      <c r="J40" s="12">
        <v>13</v>
      </c>
      <c r="T40" s="7"/>
      <c r="U40" s="14">
        <v>181</v>
      </c>
      <c r="V40" s="14">
        <v>78</v>
      </c>
      <c r="W40" s="14">
        <v>27</v>
      </c>
      <c r="X40" s="14">
        <v>24</v>
      </c>
      <c r="Y40" s="14">
        <v>40</v>
      </c>
      <c r="Z40" s="14">
        <v>20</v>
      </c>
      <c r="AJ40" s="3"/>
      <c r="AK40" s="12">
        <v>63</v>
      </c>
      <c r="AL40" s="12">
        <v>37</v>
      </c>
      <c r="AM40" s="12">
        <v>10</v>
      </c>
      <c r="AN40" s="12">
        <v>13</v>
      </c>
      <c r="AO40" s="12">
        <v>20</v>
      </c>
      <c r="AP40" s="12">
        <v>13</v>
      </c>
      <c r="AZ40" s="3"/>
      <c r="BA40" s="12">
        <v>173</v>
      </c>
      <c r="BB40" s="12">
        <v>71</v>
      </c>
      <c r="BC40" s="12">
        <v>20</v>
      </c>
      <c r="BD40" s="12">
        <v>22</v>
      </c>
      <c r="BE40" s="12">
        <v>39</v>
      </c>
      <c r="BF40" s="12">
        <v>22</v>
      </c>
      <c r="BP40" s="7"/>
      <c r="BQ40" s="14">
        <v>300.0019047619046</v>
      </c>
      <c r="BR40" s="14">
        <v>136</v>
      </c>
      <c r="BS40" s="14">
        <v>-165.00285714285712</v>
      </c>
      <c r="BT40" s="14">
        <v>-169.99571428571426</v>
      </c>
      <c r="BU40" s="14">
        <v>41</v>
      </c>
      <c r="BV40" s="14">
        <v>47.997142857142876</v>
      </c>
      <c r="CF40" s="3"/>
      <c r="CG40" s="12">
        <v>348</v>
      </c>
      <c r="CH40" s="12">
        <v>203</v>
      </c>
      <c r="CI40" s="12">
        <v>54</v>
      </c>
      <c r="CJ40" s="12">
        <v>50</v>
      </c>
      <c r="CK40" s="12">
        <v>62</v>
      </c>
      <c r="CL40" s="12">
        <v>50</v>
      </c>
    </row>
    <row r="41" spans="4:90" x14ac:dyDescent="0.3">
      <c r="D41" s="3"/>
      <c r="E41" s="12">
        <v>99</v>
      </c>
      <c r="F41" s="12">
        <v>33</v>
      </c>
      <c r="G41" s="12">
        <v>23</v>
      </c>
      <c r="H41" s="12">
        <v>24</v>
      </c>
      <c r="I41" s="12">
        <v>15</v>
      </c>
      <c r="J41" s="12">
        <v>20</v>
      </c>
      <c r="T41" s="7"/>
      <c r="U41" s="14">
        <v>142</v>
      </c>
      <c r="V41" s="14">
        <v>53</v>
      </c>
      <c r="W41" s="14">
        <v>37</v>
      </c>
      <c r="X41" s="14">
        <v>36</v>
      </c>
      <c r="Y41" s="14">
        <v>33</v>
      </c>
      <c r="Z41" s="14">
        <v>20</v>
      </c>
      <c r="AJ41" s="3"/>
      <c r="AK41" s="12">
        <v>90</v>
      </c>
      <c r="AL41" s="12">
        <v>39</v>
      </c>
      <c r="AM41" s="12">
        <v>0</v>
      </c>
      <c r="AN41" s="12">
        <v>1</v>
      </c>
      <c r="AO41" s="12">
        <v>18</v>
      </c>
      <c r="AP41" s="12">
        <v>10</v>
      </c>
      <c r="AZ41" s="3"/>
      <c r="BA41" s="12">
        <v>201</v>
      </c>
      <c r="BB41" s="12">
        <v>121</v>
      </c>
      <c r="BC41" s="12">
        <v>0</v>
      </c>
      <c r="BD41" s="12">
        <v>0</v>
      </c>
      <c r="BE41" s="12">
        <v>33</v>
      </c>
      <c r="BF41" s="12">
        <v>21</v>
      </c>
      <c r="BP41" s="7"/>
      <c r="BQ41" s="14">
        <v>298.0019047619046</v>
      </c>
      <c r="BR41" s="14">
        <v>156</v>
      </c>
      <c r="BS41" s="14">
        <v>-165.00285714285712</v>
      </c>
      <c r="BT41" s="14">
        <v>-173.99571428571426</v>
      </c>
      <c r="BU41" s="14">
        <v>52</v>
      </c>
      <c r="BV41" s="14">
        <v>63.997142857142876</v>
      </c>
      <c r="CF41" s="3"/>
      <c r="CG41" s="12">
        <v>317</v>
      </c>
      <c r="CH41" s="12">
        <v>206</v>
      </c>
      <c r="CI41" s="12">
        <v>0</v>
      </c>
      <c r="CJ41" s="12">
        <v>0</v>
      </c>
      <c r="CK41" s="12">
        <v>76</v>
      </c>
      <c r="CL41" s="12">
        <v>48</v>
      </c>
    </row>
    <row r="42" spans="4:90" x14ac:dyDescent="0.3">
      <c r="D42" s="31">
        <v>45922</v>
      </c>
      <c r="E42" s="12">
        <v>88</v>
      </c>
      <c r="F42" s="12">
        <v>46</v>
      </c>
      <c r="G42" s="12">
        <v>7</v>
      </c>
      <c r="H42" s="12">
        <v>14</v>
      </c>
      <c r="I42" s="12">
        <v>23</v>
      </c>
      <c r="J42" s="12">
        <v>12</v>
      </c>
      <c r="T42" s="33">
        <v>45922</v>
      </c>
      <c r="U42" s="14">
        <v>145</v>
      </c>
      <c r="V42" s="14">
        <v>76</v>
      </c>
      <c r="W42" s="14">
        <v>17</v>
      </c>
      <c r="X42" s="14">
        <v>21</v>
      </c>
      <c r="Y42" s="14">
        <v>23</v>
      </c>
      <c r="Z42" s="14">
        <v>22</v>
      </c>
      <c r="AJ42" s="31">
        <v>45922</v>
      </c>
      <c r="AK42" s="12">
        <v>84</v>
      </c>
      <c r="AL42" s="12">
        <v>48</v>
      </c>
      <c r="AM42" s="12">
        <v>9</v>
      </c>
      <c r="AN42" s="12">
        <v>8</v>
      </c>
      <c r="AO42" s="12">
        <v>22</v>
      </c>
      <c r="AP42" s="12">
        <v>9</v>
      </c>
      <c r="AZ42" s="31">
        <v>45922</v>
      </c>
      <c r="BA42" s="12">
        <v>136</v>
      </c>
      <c r="BB42" s="12">
        <v>100</v>
      </c>
      <c r="BC42" s="12">
        <v>25</v>
      </c>
      <c r="BD42" s="12">
        <v>19</v>
      </c>
      <c r="BE42" s="12">
        <v>41</v>
      </c>
      <c r="BF42" s="12">
        <v>29</v>
      </c>
      <c r="BP42" s="33">
        <v>45922</v>
      </c>
      <c r="BQ42" s="14">
        <v>202</v>
      </c>
      <c r="BR42" s="14">
        <v>111</v>
      </c>
      <c r="BS42" s="14">
        <v>25</v>
      </c>
      <c r="BT42" s="14">
        <v>21</v>
      </c>
      <c r="BU42" s="14">
        <v>43</v>
      </c>
      <c r="BV42" s="14">
        <v>29</v>
      </c>
      <c r="CF42" s="31">
        <v>45922</v>
      </c>
      <c r="CG42" s="12">
        <v>367</v>
      </c>
      <c r="CH42" s="12">
        <v>212</v>
      </c>
      <c r="CI42" s="12">
        <v>58</v>
      </c>
      <c r="CJ42" s="12">
        <v>57</v>
      </c>
      <c r="CK42" s="12">
        <v>69</v>
      </c>
      <c r="CL42" s="12">
        <v>45</v>
      </c>
    </row>
    <row r="43" spans="4:90" x14ac:dyDescent="0.3">
      <c r="D43" s="3"/>
      <c r="E43" s="12">
        <v>98</v>
      </c>
      <c r="F43" s="12">
        <v>69</v>
      </c>
      <c r="G43" s="12">
        <v>14</v>
      </c>
      <c r="H43" s="12">
        <v>16</v>
      </c>
      <c r="I43" s="12">
        <v>27</v>
      </c>
      <c r="J43" s="12">
        <v>16</v>
      </c>
      <c r="T43" s="7"/>
      <c r="U43" s="14">
        <v>181</v>
      </c>
      <c r="V43" s="14">
        <v>85</v>
      </c>
      <c r="W43" s="14">
        <v>20</v>
      </c>
      <c r="X43" s="14">
        <v>20</v>
      </c>
      <c r="Y43" s="14">
        <v>38</v>
      </c>
      <c r="Z43" s="14">
        <v>22</v>
      </c>
      <c r="AJ43" s="3"/>
      <c r="AK43" s="12">
        <v>92</v>
      </c>
      <c r="AL43" s="12">
        <v>38</v>
      </c>
      <c r="AM43" s="12">
        <v>12</v>
      </c>
      <c r="AN43" s="12">
        <v>9</v>
      </c>
      <c r="AO43" s="12">
        <v>15</v>
      </c>
      <c r="AP43" s="12">
        <v>16</v>
      </c>
      <c r="AZ43" s="3"/>
      <c r="BA43" s="12">
        <v>180</v>
      </c>
      <c r="BB43" s="12">
        <v>94</v>
      </c>
      <c r="BC43" s="12">
        <v>27</v>
      </c>
      <c r="BD43" s="12">
        <v>24</v>
      </c>
      <c r="BE43" s="12">
        <v>26</v>
      </c>
      <c r="BF43" s="12">
        <v>23</v>
      </c>
      <c r="BP43" s="7"/>
      <c r="BQ43" s="14">
        <v>240</v>
      </c>
      <c r="BR43" s="14">
        <v>138</v>
      </c>
      <c r="BS43" s="14">
        <v>33</v>
      </c>
      <c r="BT43" s="14">
        <v>34</v>
      </c>
      <c r="BU43" s="14">
        <v>36</v>
      </c>
      <c r="BV43" s="14">
        <v>26</v>
      </c>
      <c r="CF43" s="3"/>
      <c r="CG43" s="12">
        <v>389</v>
      </c>
      <c r="CH43" s="12">
        <v>247</v>
      </c>
      <c r="CI43" s="12">
        <v>40</v>
      </c>
      <c r="CJ43" s="12">
        <v>48</v>
      </c>
      <c r="CK43" s="12">
        <v>72</v>
      </c>
      <c r="CL43" s="12">
        <v>47</v>
      </c>
    </row>
    <row r="44" spans="4:90" x14ac:dyDescent="0.3">
      <c r="D44" s="3"/>
      <c r="E44" s="12">
        <v>107</v>
      </c>
      <c r="F44" s="12">
        <v>59</v>
      </c>
      <c r="G44" s="12">
        <v>14</v>
      </c>
      <c r="H44" s="12">
        <v>15</v>
      </c>
      <c r="I44" s="12">
        <v>18</v>
      </c>
      <c r="J44" s="12">
        <v>15</v>
      </c>
      <c r="T44" s="7"/>
      <c r="U44" s="14">
        <v>151</v>
      </c>
      <c r="V44" s="14">
        <v>87</v>
      </c>
      <c r="W44" s="14">
        <v>19</v>
      </c>
      <c r="X44" s="14">
        <v>23</v>
      </c>
      <c r="Y44" s="14">
        <v>27</v>
      </c>
      <c r="Z44" s="14">
        <v>21</v>
      </c>
      <c r="AJ44" s="3"/>
      <c r="AK44" s="12">
        <v>70</v>
      </c>
      <c r="AL44" s="12">
        <v>64</v>
      </c>
      <c r="AM44" s="12">
        <v>11</v>
      </c>
      <c r="AN44" s="12">
        <v>9</v>
      </c>
      <c r="AO44" s="12">
        <v>14</v>
      </c>
      <c r="AP44" s="12">
        <v>10</v>
      </c>
      <c r="AZ44" s="3"/>
      <c r="BA44" s="12">
        <v>161</v>
      </c>
      <c r="BB44" s="12">
        <v>112</v>
      </c>
      <c r="BC44" s="12">
        <v>36</v>
      </c>
      <c r="BD44" s="12">
        <v>25</v>
      </c>
      <c r="BE44" s="12">
        <v>42</v>
      </c>
      <c r="BF44" s="12">
        <v>31</v>
      </c>
      <c r="BP44" s="7"/>
      <c r="BQ44" s="14">
        <v>236</v>
      </c>
      <c r="BR44" s="14">
        <v>136</v>
      </c>
      <c r="BS44" s="14">
        <v>25</v>
      </c>
      <c r="BT44" s="14">
        <v>27</v>
      </c>
      <c r="BU44" s="14">
        <v>41</v>
      </c>
      <c r="BV44" s="14">
        <v>31</v>
      </c>
      <c r="CF44" s="3"/>
      <c r="CG44" s="12">
        <v>407</v>
      </c>
      <c r="CH44" s="12">
        <v>256</v>
      </c>
      <c r="CI44" s="12">
        <v>54</v>
      </c>
      <c r="CJ44" s="12">
        <v>43</v>
      </c>
      <c r="CK44" s="12">
        <v>77</v>
      </c>
      <c r="CL44" s="12">
        <v>44</v>
      </c>
    </row>
    <row r="45" spans="4:90" x14ac:dyDescent="0.3">
      <c r="D45" s="3"/>
      <c r="E45" s="12">
        <v>108</v>
      </c>
      <c r="F45" s="12">
        <v>49</v>
      </c>
      <c r="G45" s="12">
        <v>16</v>
      </c>
      <c r="H45" s="12">
        <v>14</v>
      </c>
      <c r="I45" s="12">
        <v>14</v>
      </c>
      <c r="J45" s="12">
        <v>13</v>
      </c>
      <c r="T45" s="7"/>
      <c r="U45" s="14">
        <v>181</v>
      </c>
      <c r="V45" s="14">
        <v>78</v>
      </c>
      <c r="W45" s="14">
        <v>27</v>
      </c>
      <c r="X45" s="14">
        <v>24</v>
      </c>
      <c r="Y45" s="14">
        <v>40</v>
      </c>
      <c r="Z45" s="14">
        <v>20</v>
      </c>
      <c r="AJ45" s="3"/>
      <c r="AK45" s="12">
        <v>63</v>
      </c>
      <c r="AL45" s="12">
        <v>37</v>
      </c>
      <c r="AM45" s="12">
        <v>10</v>
      </c>
      <c r="AN45" s="12">
        <v>13</v>
      </c>
      <c r="AO45" s="12">
        <v>20</v>
      </c>
      <c r="AP45" s="12">
        <v>13</v>
      </c>
      <c r="AZ45" s="3"/>
      <c r="BA45" s="12">
        <v>173</v>
      </c>
      <c r="BB45" s="12">
        <v>71</v>
      </c>
      <c r="BC45" s="12">
        <v>20</v>
      </c>
      <c r="BD45" s="12">
        <v>22</v>
      </c>
      <c r="BE45" s="12">
        <v>39</v>
      </c>
      <c r="BF45" s="12">
        <v>22</v>
      </c>
      <c r="BP45" s="7"/>
      <c r="BQ45" s="14">
        <v>229</v>
      </c>
      <c r="BR45" s="14">
        <v>150</v>
      </c>
      <c r="BS45" s="14">
        <v>21</v>
      </c>
      <c r="BT45" s="14">
        <v>22</v>
      </c>
      <c r="BU45" s="14">
        <v>43</v>
      </c>
      <c r="BV45" s="14">
        <v>24</v>
      </c>
      <c r="CF45" s="3"/>
      <c r="CG45" s="12">
        <v>348</v>
      </c>
      <c r="CH45" s="12">
        <v>203</v>
      </c>
      <c r="CI45" s="12">
        <v>54</v>
      </c>
      <c r="CJ45" s="12">
        <v>50</v>
      </c>
      <c r="CK45" s="12">
        <v>62</v>
      </c>
      <c r="CL45" s="12">
        <v>50</v>
      </c>
    </row>
    <row r="46" spans="4:90" x14ac:dyDescent="0.3">
      <c r="D46" s="3"/>
      <c r="E46" s="12">
        <v>99</v>
      </c>
      <c r="F46" s="12">
        <v>33</v>
      </c>
      <c r="G46" s="12">
        <v>23</v>
      </c>
      <c r="H46" s="12">
        <v>24</v>
      </c>
      <c r="I46" s="12">
        <v>15</v>
      </c>
      <c r="J46" s="12">
        <v>20</v>
      </c>
      <c r="T46" s="7"/>
      <c r="U46" s="14">
        <v>142</v>
      </c>
      <c r="V46" s="14">
        <v>53</v>
      </c>
      <c r="W46" s="14">
        <v>37</v>
      </c>
      <c r="X46" s="14">
        <v>36</v>
      </c>
      <c r="Y46" s="14">
        <v>33</v>
      </c>
      <c r="Z46" s="14">
        <v>20</v>
      </c>
      <c r="AJ46" s="3"/>
      <c r="AK46" s="12">
        <v>90</v>
      </c>
      <c r="AL46" s="12">
        <v>39</v>
      </c>
      <c r="AM46" s="12">
        <v>0</v>
      </c>
      <c r="AN46" s="12">
        <v>1</v>
      </c>
      <c r="AO46" s="12">
        <v>18</v>
      </c>
      <c r="AP46" s="12">
        <v>10</v>
      </c>
      <c r="AZ46" s="3"/>
      <c r="BA46" s="12">
        <v>201</v>
      </c>
      <c r="BB46" s="12">
        <v>121</v>
      </c>
      <c r="BC46" s="12">
        <v>0</v>
      </c>
      <c r="BD46" s="12">
        <v>0</v>
      </c>
      <c r="BE46" s="12">
        <v>33</v>
      </c>
      <c r="BF46" s="12">
        <v>21</v>
      </c>
      <c r="BP46" s="7"/>
      <c r="BQ46" s="14">
        <v>270</v>
      </c>
      <c r="BR46" s="14">
        <v>157</v>
      </c>
      <c r="BS46" s="14">
        <v>0</v>
      </c>
      <c r="BT46" s="14">
        <v>3</v>
      </c>
      <c r="BU46" s="14">
        <v>38</v>
      </c>
      <c r="BV46" s="14">
        <v>27</v>
      </c>
      <c r="CF46" s="3"/>
      <c r="CG46" s="12">
        <v>317</v>
      </c>
      <c r="CH46" s="12">
        <v>206</v>
      </c>
      <c r="CI46" s="12">
        <v>0</v>
      </c>
      <c r="CJ46" s="12">
        <v>0</v>
      </c>
      <c r="CK46" s="12">
        <v>76</v>
      </c>
      <c r="CL46" s="12">
        <v>48</v>
      </c>
    </row>
    <row r="47" spans="4:90" x14ac:dyDescent="0.3">
      <c r="D47" s="3"/>
      <c r="E47" s="12">
        <v>112</v>
      </c>
      <c r="F47" s="12">
        <v>47</v>
      </c>
      <c r="G47" s="12">
        <v>0</v>
      </c>
      <c r="H47" s="12">
        <v>2</v>
      </c>
      <c r="I47" s="12">
        <v>17</v>
      </c>
      <c r="J47" s="12">
        <v>14</v>
      </c>
      <c r="T47" s="7"/>
      <c r="U47" s="14">
        <v>168</v>
      </c>
      <c r="V47" s="14">
        <v>82</v>
      </c>
      <c r="W47" s="14">
        <v>0</v>
      </c>
      <c r="X47" s="14">
        <v>0</v>
      </c>
      <c r="Y47" s="14">
        <v>36</v>
      </c>
      <c r="Z47" s="14">
        <v>21</v>
      </c>
      <c r="AJ47" s="3"/>
      <c r="AK47" s="12">
        <v>70</v>
      </c>
      <c r="AL47" s="12">
        <v>57</v>
      </c>
      <c r="AM47" s="12">
        <v>0</v>
      </c>
      <c r="AN47" s="12">
        <v>1</v>
      </c>
      <c r="AO47" s="12">
        <v>15</v>
      </c>
      <c r="AP47" s="12">
        <v>15</v>
      </c>
      <c r="AZ47" s="3"/>
      <c r="BA47" s="12">
        <v>185</v>
      </c>
      <c r="BB47" s="12">
        <v>147</v>
      </c>
      <c r="BC47" s="12">
        <v>0</v>
      </c>
      <c r="BD47" s="12">
        <v>0</v>
      </c>
      <c r="BE47" s="12">
        <v>39</v>
      </c>
      <c r="BF47" s="12">
        <v>29</v>
      </c>
      <c r="BP47" s="7"/>
      <c r="BQ47" s="14">
        <v>202</v>
      </c>
      <c r="BR47" s="14">
        <v>226</v>
      </c>
      <c r="BS47" s="14">
        <v>0</v>
      </c>
      <c r="BT47" s="14">
        <v>3</v>
      </c>
      <c r="BU47" s="14">
        <v>60</v>
      </c>
      <c r="BV47" s="14">
        <v>29</v>
      </c>
      <c r="CF47" s="3"/>
      <c r="CG47" s="12">
        <v>290</v>
      </c>
      <c r="CH47" s="12">
        <v>204</v>
      </c>
      <c r="CI47" s="12">
        <v>0</v>
      </c>
      <c r="CJ47" s="12">
        <v>0</v>
      </c>
      <c r="CK47" s="12">
        <v>71</v>
      </c>
      <c r="CL47" s="12">
        <v>37</v>
      </c>
    </row>
    <row r="48" spans="4:90" x14ac:dyDescent="0.3">
      <c r="D48" s="31">
        <v>45929</v>
      </c>
      <c r="E48" s="12">
        <v>98</v>
      </c>
      <c r="F48" s="12">
        <v>69</v>
      </c>
      <c r="G48" s="12">
        <v>14</v>
      </c>
      <c r="H48" s="12">
        <v>16</v>
      </c>
      <c r="I48" s="12">
        <v>27</v>
      </c>
      <c r="J48" s="12">
        <v>16</v>
      </c>
      <c r="T48" s="33">
        <v>45929</v>
      </c>
      <c r="U48" s="14">
        <v>181</v>
      </c>
      <c r="V48" s="14">
        <v>85</v>
      </c>
      <c r="W48" s="14">
        <v>20</v>
      </c>
      <c r="X48" s="14">
        <v>20</v>
      </c>
      <c r="Y48" s="14">
        <v>38</v>
      </c>
      <c r="Z48" s="14">
        <v>22</v>
      </c>
      <c r="AJ48" s="31">
        <v>45929</v>
      </c>
      <c r="AK48" s="12">
        <v>92</v>
      </c>
      <c r="AL48" s="12">
        <v>38</v>
      </c>
      <c r="AM48" s="12">
        <v>12</v>
      </c>
      <c r="AN48" s="12">
        <v>9</v>
      </c>
      <c r="AO48" s="12">
        <v>15</v>
      </c>
      <c r="AP48" s="12">
        <v>16</v>
      </c>
      <c r="AZ48" s="31">
        <v>45929</v>
      </c>
      <c r="BA48" s="12">
        <v>180</v>
      </c>
      <c r="BB48" s="12">
        <v>94</v>
      </c>
      <c r="BC48" s="12">
        <v>27</v>
      </c>
      <c r="BD48" s="12">
        <v>24</v>
      </c>
      <c r="BE48" s="12">
        <v>26</v>
      </c>
      <c r="BF48" s="12">
        <v>23</v>
      </c>
      <c r="BP48" s="33">
        <v>45929</v>
      </c>
      <c r="BQ48" s="14">
        <v>240</v>
      </c>
      <c r="BR48" s="14">
        <v>138</v>
      </c>
      <c r="BS48" s="14">
        <v>33</v>
      </c>
      <c r="BT48" s="14">
        <v>34</v>
      </c>
      <c r="BU48" s="14">
        <v>36</v>
      </c>
      <c r="BV48" s="14">
        <v>26</v>
      </c>
      <c r="CF48" s="31">
        <v>45929</v>
      </c>
      <c r="CG48" s="12">
        <v>389</v>
      </c>
      <c r="CH48" s="12">
        <v>247</v>
      </c>
      <c r="CI48" s="12">
        <v>40</v>
      </c>
      <c r="CJ48" s="12">
        <v>48</v>
      </c>
      <c r="CK48" s="12">
        <v>72</v>
      </c>
      <c r="CL48" s="12">
        <v>47</v>
      </c>
    </row>
    <row r="49" spans="4:90" x14ac:dyDescent="0.3">
      <c r="D49" s="3"/>
      <c r="E49" s="12">
        <v>107</v>
      </c>
      <c r="F49" s="12">
        <v>59</v>
      </c>
      <c r="G49" s="12">
        <v>14</v>
      </c>
      <c r="H49" s="12">
        <v>15</v>
      </c>
      <c r="I49" s="12">
        <v>18</v>
      </c>
      <c r="J49" s="12">
        <v>15</v>
      </c>
      <c r="T49" s="7"/>
      <c r="U49" s="14">
        <v>151</v>
      </c>
      <c r="V49" s="14">
        <v>87</v>
      </c>
      <c r="W49" s="14">
        <v>19</v>
      </c>
      <c r="X49" s="14">
        <v>23</v>
      </c>
      <c r="Y49" s="14">
        <v>27</v>
      </c>
      <c r="Z49" s="14">
        <v>21</v>
      </c>
      <c r="AJ49" s="3"/>
      <c r="AK49" s="12">
        <v>70</v>
      </c>
      <c r="AL49" s="12">
        <v>64</v>
      </c>
      <c r="AM49" s="12">
        <v>11</v>
      </c>
      <c r="AN49" s="12">
        <v>9</v>
      </c>
      <c r="AO49" s="12">
        <v>14</v>
      </c>
      <c r="AP49" s="12">
        <v>10</v>
      </c>
      <c r="AZ49" s="3"/>
      <c r="BA49" s="12">
        <v>161</v>
      </c>
      <c r="BB49" s="12">
        <v>112</v>
      </c>
      <c r="BC49" s="12">
        <v>36</v>
      </c>
      <c r="BD49" s="12">
        <v>25</v>
      </c>
      <c r="BE49" s="12">
        <v>42</v>
      </c>
      <c r="BF49" s="12">
        <v>31</v>
      </c>
      <c r="BP49" s="7"/>
      <c r="BQ49" s="14">
        <v>236</v>
      </c>
      <c r="BR49" s="14">
        <v>136</v>
      </c>
      <c r="BS49" s="14">
        <v>25</v>
      </c>
      <c r="BT49" s="14">
        <v>27</v>
      </c>
      <c r="BU49" s="14">
        <v>41</v>
      </c>
      <c r="BV49" s="14">
        <v>31</v>
      </c>
      <c r="CF49" s="3"/>
      <c r="CG49" s="12">
        <v>407</v>
      </c>
      <c r="CH49" s="12">
        <v>256</v>
      </c>
      <c r="CI49" s="12">
        <v>54</v>
      </c>
      <c r="CJ49" s="12">
        <v>43</v>
      </c>
      <c r="CK49" s="12">
        <v>77</v>
      </c>
      <c r="CL49" s="12">
        <v>44</v>
      </c>
    </row>
    <row r="50" spans="4:90" x14ac:dyDescent="0.3">
      <c r="D50" s="3"/>
      <c r="E50" s="12">
        <v>108</v>
      </c>
      <c r="F50" s="12">
        <v>49</v>
      </c>
      <c r="G50" s="12">
        <v>16</v>
      </c>
      <c r="H50" s="12">
        <v>14</v>
      </c>
      <c r="I50" s="12">
        <v>14</v>
      </c>
      <c r="J50" s="12">
        <v>13</v>
      </c>
      <c r="T50" s="7"/>
      <c r="U50" s="14">
        <v>181</v>
      </c>
      <c r="V50" s="14">
        <v>78</v>
      </c>
      <c r="W50" s="14">
        <v>27</v>
      </c>
      <c r="X50" s="14">
        <v>24</v>
      </c>
      <c r="Y50" s="14">
        <v>40</v>
      </c>
      <c r="Z50" s="14">
        <v>20</v>
      </c>
      <c r="AJ50" s="3"/>
      <c r="AK50" s="12">
        <v>63</v>
      </c>
      <c r="AL50" s="12">
        <v>37</v>
      </c>
      <c r="AM50" s="12">
        <v>10</v>
      </c>
      <c r="AN50" s="12">
        <v>13</v>
      </c>
      <c r="AO50" s="12">
        <v>20</v>
      </c>
      <c r="AP50" s="12">
        <v>13</v>
      </c>
      <c r="AZ50" s="3"/>
      <c r="BA50" s="12">
        <v>173</v>
      </c>
      <c r="BB50" s="12">
        <v>71</v>
      </c>
      <c r="BC50" s="12">
        <v>20</v>
      </c>
      <c r="BD50" s="12">
        <v>22</v>
      </c>
      <c r="BE50" s="12">
        <v>39</v>
      </c>
      <c r="BF50" s="12">
        <v>22</v>
      </c>
      <c r="BP50" s="7"/>
      <c r="BQ50" s="14">
        <v>229</v>
      </c>
      <c r="BR50" s="14">
        <v>150</v>
      </c>
      <c r="BS50" s="14">
        <v>21</v>
      </c>
      <c r="BT50" s="14">
        <v>22</v>
      </c>
      <c r="BU50" s="14">
        <v>43</v>
      </c>
      <c r="BV50" s="14">
        <v>24</v>
      </c>
      <c r="CF50" s="3"/>
      <c r="CG50" s="12">
        <v>348</v>
      </c>
      <c r="CH50" s="12">
        <v>203</v>
      </c>
      <c r="CI50" s="12">
        <v>54</v>
      </c>
      <c r="CJ50" s="12">
        <v>50</v>
      </c>
      <c r="CK50" s="12">
        <v>62</v>
      </c>
      <c r="CL50" s="12">
        <v>50</v>
      </c>
    </row>
    <row r="51" spans="4:90" x14ac:dyDescent="0.3">
      <c r="D51" s="3"/>
      <c r="E51" s="12">
        <v>99</v>
      </c>
      <c r="F51" s="12">
        <v>33</v>
      </c>
      <c r="G51" s="12">
        <v>23</v>
      </c>
      <c r="H51" s="12">
        <v>24</v>
      </c>
      <c r="I51" s="12">
        <v>15</v>
      </c>
      <c r="J51" s="12">
        <v>20</v>
      </c>
      <c r="T51" s="7"/>
      <c r="U51" s="14">
        <v>142</v>
      </c>
      <c r="V51" s="14">
        <v>53</v>
      </c>
      <c r="W51" s="14">
        <v>37</v>
      </c>
      <c r="X51" s="14">
        <v>36</v>
      </c>
      <c r="Y51" s="14">
        <v>33</v>
      </c>
      <c r="Z51" s="14">
        <v>20</v>
      </c>
      <c r="AJ51" s="3"/>
      <c r="AK51" s="12">
        <v>90</v>
      </c>
      <c r="AL51" s="12">
        <v>39</v>
      </c>
      <c r="AM51" s="12">
        <v>0</v>
      </c>
      <c r="AN51" s="12">
        <v>1</v>
      </c>
      <c r="AO51" s="12">
        <v>18</v>
      </c>
      <c r="AP51" s="12">
        <v>10</v>
      </c>
      <c r="AZ51" s="3"/>
      <c r="BA51" s="12">
        <v>201</v>
      </c>
      <c r="BB51" s="12">
        <v>121</v>
      </c>
      <c r="BC51" s="12">
        <v>0</v>
      </c>
      <c r="BD51" s="12">
        <v>0</v>
      </c>
      <c r="BE51" s="12">
        <v>33</v>
      </c>
      <c r="BF51" s="12">
        <v>21</v>
      </c>
      <c r="BP51" s="7"/>
      <c r="BQ51" s="14">
        <v>270</v>
      </c>
      <c r="BR51" s="14">
        <v>157</v>
      </c>
      <c r="BS51" s="14">
        <v>0</v>
      </c>
      <c r="BT51" s="14">
        <v>3</v>
      </c>
      <c r="BU51" s="14">
        <v>38</v>
      </c>
      <c r="BV51" s="14">
        <v>27</v>
      </c>
      <c r="CF51" s="3"/>
      <c r="CG51" s="12">
        <v>317</v>
      </c>
      <c r="CH51" s="12">
        <v>206</v>
      </c>
      <c r="CI51" s="12">
        <v>0</v>
      </c>
      <c r="CJ51" s="12">
        <v>0</v>
      </c>
      <c r="CK51" s="12">
        <v>76</v>
      </c>
      <c r="CL51" s="12">
        <v>48</v>
      </c>
    </row>
    <row r="52" spans="4:90" x14ac:dyDescent="0.3">
      <c r="D52" s="3"/>
      <c r="E52" s="12">
        <v>112</v>
      </c>
      <c r="F52" s="12">
        <v>47</v>
      </c>
      <c r="G52" s="12">
        <v>0</v>
      </c>
      <c r="H52" s="12">
        <v>2</v>
      </c>
      <c r="I52" s="12">
        <v>17</v>
      </c>
      <c r="J52" s="12">
        <v>14</v>
      </c>
      <c r="T52" s="7"/>
      <c r="U52" s="14">
        <v>168</v>
      </c>
      <c r="V52" s="14">
        <v>82</v>
      </c>
      <c r="W52" s="14">
        <v>0</v>
      </c>
      <c r="X52" s="14">
        <v>0</v>
      </c>
      <c r="Y52" s="14">
        <v>36</v>
      </c>
      <c r="Z52" s="14">
        <v>21</v>
      </c>
      <c r="AJ52" s="3"/>
      <c r="AK52" s="12">
        <v>70</v>
      </c>
      <c r="AL52" s="12">
        <v>57</v>
      </c>
      <c r="AM52" s="12">
        <v>0</v>
      </c>
      <c r="AN52" s="12">
        <v>1</v>
      </c>
      <c r="AO52" s="12">
        <v>15</v>
      </c>
      <c r="AP52" s="12">
        <v>15</v>
      </c>
      <c r="AZ52" s="3"/>
      <c r="BA52" s="12">
        <v>185</v>
      </c>
      <c r="BB52" s="12">
        <v>147</v>
      </c>
      <c r="BC52" s="12">
        <v>0</v>
      </c>
      <c r="BD52" s="12">
        <v>0</v>
      </c>
      <c r="BE52" s="12">
        <v>39</v>
      </c>
      <c r="BF52" s="12">
        <v>29</v>
      </c>
      <c r="BP52" s="7"/>
      <c r="BQ52" s="14">
        <v>202</v>
      </c>
      <c r="BR52" s="14">
        <v>226</v>
      </c>
      <c r="BS52" s="14">
        <v>0</v>
      </c>
      <c r="BT52" s="14">
        <v>3</v>
      </c>
      <c r="BU52" s="14">
        <v>60</v>
      </c>
      <c r="BV52" s="14">
        <v>29</v>
      </c>
      <c r="CF52" s="3"/>
      <c r="CG52" s="12">
        <v>290</v>
      </c>
      <c r="CH52" s="12">
        <v>204</v>
      </c>
      <c r="CI52" s="12">
        <v>0</v>
      </c>
      <c r="CJ52" s="12">
        <v>0</v>
      </c>
      <c r="CK52" s="12">
        <v>71</v>
      </c>
      <c r="CL52" s="12">
        <v>37</v>
      </c>
    </row>
    <row r="53" spans="4:90" x14ac:dyDescent="0.3">
      <c r="D53" s="3"/>
      <c r="E53" s="12">
        <v>127</v>
      </c>
      <c r="F53" s="12">
        <v>68</v>
      </c>
      <c r="G53" s="12">
        <v>0</v>
      </c>
      <c r="H53" s="12">
        <v>0</v>
      </c>
      <c r="I53" s="12">
        <v>30</v>
      </c>
      <c r="J53" s="12">
        <v>15</v>
      </c>
      <c r="T53" s="7"/>
      <c r="U53" s="14">
        <v>169</v>
      </c>
      <c r="V53" s="14">
        <v>76</v>
      </c>
      <c r="W53" s="14">
        <v>0</v>
      </c>
      <c r="X53" s="14">
        <v>0</v>
      </c>
      <c r="Y53" s="14">
        <v>22</v>
      </c>
      <c r="Z53" s="14">
        <v>27</v>
      </c>
      <c r="AJ53" s="3"/>
      <c r="AK53" s="12">
        <v>97</v>
      </c>
      <c r="AL53" s="12">
        <v>60</v>
      </c>
      <c r="AM53" s="12">
        <v>0</v>
      </c>
      <c r="AN53" s="12">
        <v>0</v>
      </c>
      <c r="AO53" s="12">
        <v>15</v>
      </c>
      <c r="AP53" s="12">
        <v>18</v>
      </c>
      <c r="AZ53" s="3"/>
      <c r="BA53" s="12">
        <v>155</v>
      </c>
      <c r="BB53" s="12">
        <v>125</v>
      </c>
      <c r="BC53" s="12">
        <v>0</v>
      </c>
      <c r="BD53" s="12">
        <v>0</v>
      </c>
      <c r="BE53" s="12">
        <v>17</v>
      </c>
      <c r="BF53" s="12">
        <v>33</v>
      </c>
      <c r="BP53" s="7"/>
      <c r="BQ53" s="14">
        <v>206</v>
      </c>
      <c r="BR53" s="14">
        <v>117</v>
      </c>
      <c r="BS53" s="14">
        <v>0</v>
      </c>
      <c r="BT53" s="14">
        <v>0</v>
      </c>
      <c r="BU53" s="14">
        <v>37</v>
      </c>
      <c r="BV53" s="14">
        <v>38</v>
      </c>
      <c r="CF53" s="3"/>
      <c r="CG53" s="12">
        <v>335</v>
      </c>
      <c r="CH53" s="12">
        <v>190</v>
      </c>
      <c r="CI53" s="12">
        <v>0</v>
      </c>
      <c r="CJ53" s="12">
        <v>0</v>
      </c>
      <c r="CK53" s="12">
        <v>84</v>
      </c>
      <c r="CL53" s="12">
        <v>55</v>
      </c>
    </row>
    <row r="54" spans="4:90" x14ac:dyDescent="0.3">
      <c r="D54" s="31">
        <v>45936</v>
      </c>
      <c r="E54" s="12">
        <v>107</v>
      </c>
      <c r="F54" s="12">
        <v>59</v>
      </c>
      <c r="G54" s="12">
        <v>14</v>
      </c>
      <c r="H54" s="12">
        <v>15</v>
      </c>
      <c r="I54" s="12">
        <v>18</v>
      </c>
      <c r="J54" s="12">
        <v>15</v>
      </c>
      <c r="T54" s="33">
        <v>45936</v>
      </c>
      <c r="U54" s="14">
        <v>151</v>
      </c>
      <c r="V54" s="14">
        <v>87</v>
      </c>
      <c r="W54" s="14">
        <v>19</v>
      </c>
      <c r="X54" s="14">
        <v>23</v>
      </c>
      <c r="Y54" s="14">
        <v>27</v>
      </c>
      <c r="Z54" s="14">
        <v>21</v>
      </c>
      <c r="AJ54" s="31">
        <v>45936</v>
      </c>
      <c r="AK54" s="12">
        <v>70</v>
      </c>
      <c r="AL54" s="12">
        <v>64</v>
      </c>
      <c r="AM54" s="12">
        <v>11</v>
      </c>
      <c r="AN54" s="12">
        <v>9</v>
      </c>
      <c r="AO54" s="12">
        <v>14</v>
      </c>
      <c r="AP54" s="12">
        <v>10</v>
      </c>
      <c r="AZ54" s="31">
        <v>45936</v>
      </c>
      <c r="BA54" s="12">
        <v>161</v>
      </c>
      <c r="BB54" s="12">
        <v>112</v>
      </c>
      <c r="BC54" s="12">
        <v>36</v>
      </c>
      <c r="BD54" s="12">
        <v>25</v>
      </c>
      <c r="BE54" s="12">
        <v>42</v>
      </c>
      <c r="BF54" s="12">
        <v>31</v>
      </c>
      <c r="BP54" s="33">
        <v>45936</v>
      </c>
      <c r="BQ54" s="14">
        <v>236</v>
      </c>
      <c r="BR54" s="14">
        <v>136</v>
      </c>
      <c r="BS54" s="14">
        <v>25</v>
      </c>
      <c r="BT54" s="14">
        <v>27</v>
      </c>
      <c r="BU54" s="14">
        <v>41</v>
      </c>
      <c r="BV54" s="14">
        <v>31</v>
      </c>
      <c r="CF54" s="31">
        <v>45936</v>
      </c>
      <c r="CG54" s="12">
        <v>407</v>
      </c>
      <c r="CH54" s="12">
        <v>256</v>
      </c>
      <c r="CI54" s="12">
        <v>54</v>
      </c>
      <c r="CJ54" s="12">
        <v>43</v>
      </c>
      <c r="CK54" s="12">
        <v>77</v>
      </c>
      <c r="CL54" s="12">
        <v>44</v>
      </c>
    </row>
    <row r="55" spans="4:90" x14ac:dyDescent="0.3">
      <c r="D55" s="3"/>
      <c r="E55" s="12">
        <v>108</v>
      </c>
      <c r="F55" s="12">
        <v>49</v>
      </c>
      <c r="G55" s="12">
        <v>16</v>
      </c>
      <c r="H55" s="12">
        <v>14</v>
      </c>
      <c r="I55" s="12">
        <v>14</v>
      </c>
      <c r="J55" s="12">
        <v>13</v>
      </c>
      <c r="T55" s="7"/>
      <c r="U55" s="14">
        <v>181</v>
      </c>
      <c r="V55" s="14">
        <v>78</v>
      </c>
      <c r="W55" s="14">
        <v>27</v>
      </c>
      <c r="X55" s="14">
        <v>24</v>
      </c>
      <c r="Y55" s="14">
        <v>40</v>
      </c>
      <c r="Z55" s="14">
        <v>20</v>
      </c>
      <c r="AJ55" s="3"/>
      <c r="AK55" s="12">
        <v>63</v>
      </c>
      <c r="AL55" s="12">
        <v>37</v>
      </c>
      <c r="AM55" s="12">
        <v>10</v>
      </c>
      <c r="AN55" s="12">
        <v>13</v>
      </c>
      <c r="AO55" s="12">
        <v>20</v>
      </c>
      <c r="AP55" s="12">
        <v>13</v>
      </c>
      <c r="AZ55" s="3"/>
      <c r="BA55" s="12">
        <v>173</v>
      </c>
      <c r="BB55" s="12">
        <v>71</v>
      </c>
      <c r="BC55" s="12">
        <v>20</v>
      </c>
      <c r="BD55" s="12">
        <v>22</v>
      </c>
      <c r="BE55" s="12">
        <v>39</v>
      </c>
      <c r="BF55" s="12">
        <v>22</v>
      </c>
      <c r="BP55" s="7"/>
      <c r="BQ55" s="14">
        <v>229</v>
      </c>
      <c r="BR55" s="14">
        <v>150</v>
      </c>
      <c r="BS55" s="14">
        <v>21</v>
      </c>
      <c r="BT55" s="14">
        <v>22</v>
      </c>
      <c r="BU55" s="14">
        <v>43</v>
      </c>
      <c r="BV55" s="14">
        <v>24</v>
      </c>
      <c r="CF55" s="3"/>
      <c r="CG55" s="12">
        <v>348</v>
      </c>
      <c r="CH55" s="12">
        <v>203</v>
      </c>
      <c r="CI55" s="12">
        <v>54</v>
      </c>
      <c r="CJ55" s="12">
        <v>50</v>
      </c>
      <c r="CK55" s="12">
        <v>62</v>
      </c>
      <c r="CL55" s="12">
        <v>50</v>
      </c>
    </row>
    <row r="56" spans="4:90" x14ac:dyDescent="0.3">
      <c r="D56" s="3"/>
      <c r="E56" s="12">
        <v>99</v>
      </c>
      <c r="F56" s="12">
        <v>33</v>
      </c>
      <c r="G56" s="12">
        <v>23</v>
      </c>
      <c r="H56" s="12">
        <v>24</v>
      </c>
      <c r="I56" s="12">
        <v>15</v>
      </c>
      <c r="J56" s="12">
        <v>20</v>
      </c>
      <c r="T56" s="7"/>
      <c r="U56" s="14">
        <v>142</v>
      </c>
      <c r="V56" s="14">
        <v>53</v>
      </c>
      <c r="W56" s="14">
        <v>37</v>
      </c>
      <c r="X56" s="14">
        <v>36</v>
      </c>
      <c r="Y56" s="14">
        <v>33</v>
      </c>
      <c r="Z56" s="14">
        <v>20</v>
      </c>
      <c r="AJ56" s="3"/>
      <c r="AK56" s="12">
        <v>90</v>
      </c>
      <c r="AL56" s="12">
        <v>39</v>
      </c>
      <c r="AM56" s="12">
        <v>0</v>
      </c>
      <c r="AN56" s="12">
        <v>1</v>
      </c>
      <c r="AO56" s="12">
        <v>18</v>
      </c>
      <c r="AP56" s="12">
        <v>10</v>
      </c>
      <c r="AZ56" s="3"/>
      <c r="BA56" s="12">
        <v>201</v>
      </c>
      <c r="BB56" s="12">
        <v>121</v>
      </c>
      <c r="BC56" s="12">
        <v>0</v>
      </c>
      <c r="BD56" s="12">
        <v>0</v>
      </c>
      <c r="BE56" s="12">
        <v>33</v>
      </c>
      <c r="BF56" s="12">
        <v>21</v>
      </c>
      <c r="BP56" s="7"/>
      <c r="BQ56" s="14">
        <v>270</v>
      </c>
      <c r="BR56" s="14">
        <v>157</v>
      </c>
      <c r="BS56" s="14">
        <v>0</v>
      </c>
      <c r="BT56" s="14">
        <v>3</v>
      </c>
      <c r="BU56" s="14">
        <v>38</v>
      </c>
      <c r="BV56" s="14">
        <v>27</v>
      </c>
      <c r="CF56" s="3"/>
      <c r="CG56" s="12">
        <v>317</v>
      </c>
      <c r="CH56" s="12">
        <v>206</v>
      </c>
      <c r="CI56" s="12">
        <v>0</v>
      </c>
      <c r="CJ56" s="12">
        <v>0</v>
      </c>
      <c r="CK56" s="12">
        <v>76</v>
      </c>
      <c r="CL56" s="12">
        <v>48</v>
      </c>
    </row>
    <row r="57" spans="4:90" x14ac:dyDescent="0.3">
      <c r="D57" s="3"/>
      <c r="E57" s="12">
        <v>112</v>
      </c>
      <c r="F57" s="12">
        <v>47</v>
      </c>
      <c r="G57" s="12">
        <v>0</v>
      </c>
      <c r="H57" s="12">
        <v>2</v>
      </c>
      <c r="I57" s="12">
        <v>17</v>
      </c>
      <c r="J57" s="12">
        <v>14</v>
      </c>
      <c r="T57" s="7"/>
      <c r="U57" s="14">
        <v>168</v>
      </c>
      <c r="V57" s="14">
        <v>82</v>
      </c>
      <c r="W57" s="14">
        <v>0</v>
      </c>
      <c r="X57" s="14">
        <v>0</v>
      </c>
      <c r="Y57" s="14">
        <v>36</v>
      </c>
      <c r="Z57" s="14">
        <v>21</v>
      </c>
      <c r="AJ57" s="3"/>
      <c r="AK57" s="12">
        <v>70</v>
      </c>
      <c r="AL57" s="12">
        <v>57</v>
      </c>
      <c r="AM57" s="12">
        <v>0</v>
      </c>
      <c r="AN57" s="12">
        <v>1</v>
      </c>
      <c r="AO57" s="12">
        <v>15</v>
      </c>
      <c r="AP57" s="12">
        <v>15</v>
      </c>
      <c r="AZ57" s="3"/>
      <c r="BA57" s="12">
        <v>185</v>
      </c>
      <c r="BB57" s="12">
        <v>147</v>
      </c>
      <c r="BC57" s="12">
        <v>0</v>
      </c>
      <c r="BD57" s="12">
        <v>0</v>
      </c>
      <c r="BE57" s="12">
        <v>39</v>
      </c>
      <c r="BF57" s="12">
        <v>29</v>
      </c>
      <c r="BP57" s="7"/>
      <c r="BQ57" s="14">
        <v>202</v>
      </c>
      <c r="BR57" s="14">
        <v>226</v>
      </c>
      <c r="BS57" s="14">
        <v>0</v>
      </c>
      <c r="BT57" s="14">
        <v>3</v>
      </c>
      <c r="BU57" s="14">
        <v>60</v>
      </c>
      <c r="BV57" s="14">
        <v>29</v>
      </c>
      <c r="CF57" s="3"/>
      <c r="CG57" s="12">
        <v>290</v>
      </c>
      <c r="CH57" s="12">
        <v>204</v>
      </c>
      <c r="CI57" s="12">
        <v>0</v>
      </c>
      <c r="CJ57" s="12">
        <v>0</v>
      </c>
      <c r="CK57" s="12">
        <v>71</v>
      </c>
      <c r="CL57" s="12">
        <v>37</v>
      </c>
    </row>
    <row r="58" spans="4:90" x14ac:dyDescent="0.3">
      <c r="D58" s="3"/>
      <c r="E58" s="12">
        <v>127</v>
      </c>
      <c r="F58" s="12">
        <v>68</v>
      </c>
      <c r="G58" s="12">
        <v>0</v>
      </c>
      <c r="H58" s="12">
        <v>0</v>
      </c>
      <c r="I58" s="12">
        <v>30</v>
      </c>
      <c r="J58" s="12">
        <v>15</v>
      </c>
      <c r="T58" s="7"/>
      <c r="U58" s="14">
        <v>169</v>
      </c>
      <c r="V58" s="14">
        <v>76</v>
      </c>
      <c r="W58" s="14">
        <v>0</v>
      </c>
      <c r="X58" s="14">
        <v>0</v>
      </c>
      <c r="Y58" s="14">
        <v>22</v>
      </c>
      <c r="Z58" s="14">
        <v>27</v>
      </c>
      <c r="AJ58" s="3"/>
      <c r="AK58" s="12">
        <v>97</v>
      </c>
      <c r="AL58" s="12">
        <v>60</v>
      </c>
      <c r="AM58" s="12">
        <v>0</v>
      </c>
      <c r="AN58" s="12">
        <v>0</v>
      </c>
      <c r="AO58" s="12">
        <v>15</v>
      </c>
      <c r="AP58" s="12">
        <v>18</v>
      </c>
      <c r="AZ58" s="3"/>
      <c r="BA58" s="12">
        <v>155</v>
      </c>
      <c r="BB58" s="12">
        <v>125</v>
      </c>
      <c r="BC58" s="12">
        <v>0</v>
      </c>
      <c r="BD58" s="12">
        <v>0</v>
      </c>
      <c r="BE58" s="12">
        <v>17</v>
      </c>
      <c r="BF58" s="12">
        <v>33</v>
      </c>
      <c r="BP58" s="7"/>
      <c r="BQ58" s="14">
        <v>206</v>
      </c>
      <c r="BR58" s="14">
        <v>117</v>
      </c>
      <c r="BS58" s="14">
        <v>0</v>
      </c>
      <c r="BT58" s="14">
        <v>0</v>
      </c>
      <c r="BU58" s="14">
        <v>37</v>
      </c>
      <c r="BV58" s="14">
        <v>38</v>
      </c>
      <c r="CF58" s="3"/>
      <c r="CG58" s="12">
        <v>335</v>
      </c>
      <c r="CH58" s="12">
        <v>190</v>
      </c>
      <c r="CI58" s="12">
        <v>0</v>
      </c>
      <c r="CJ58" s="12">
        <v>0</v>
      </c>
      <c r="CK58" s="12">
        <v>84</v>
      </c>
      <c r="CL58" s="12">
        <v>55</v>
      </c>
    </row>
    <row r="59" spans="4:90" x14ac:dyDescent="0.3">
      <c r="D59" s="3"/>
      <c r="E59" s="12">
        <v>115</v>
      </c>
      <c r="F59" s="12">
        <v>61</v>
      </c>
      <c r="G59" s="12">
        <v>0</v>
      </c>
      <c r="H59" s="12">
        <v>0</v>
      </c>
      <c r="I59" s="12">
        <v>18</v>
      </c>
      <c r="J59" s="12">
        <v>16</v>
      </c>
      <c r="T59" s="7"/>
      <c r="U59" s="14">
        <v>151</v>
      </c>
      <c r="V59" s="14">
        <v>83</v>
      </c>
      <c r="W59" s="14">
        <v>0</v>
      </c>
      <c r="X59" s="14">
        <v>0</v>
      </c>
      <c r="Y59" s="14">
        <v>32</v>
      </c>
      <c r="Z59" s="14">
        <v>18</v>
      </c>
      <c r="AJ59" s="3"/>
      <c r="AK59" s="12">
        <v>78</v>
      </c>
      <c r="AL59" s="12">
        <v>38</v>
      </c>
      <c r="AM59" s="12">
        <v>0</v>
      </c>
      <c r="AN59" s="12">
        <v>0</v>
      </c>
      <c r="AO59" s="12">
        <v>19</v>
      </c>
      <c r="AP59" s="12">
        <v>7</v>
      </c>
      <c r="AZ59" s="3"/>
      <c r="BA59" s="12">
        <v>178</v>
      </c>
      <c r="BB59" s="12">
        <v>158</v>
      </c>
      <c r="BC59" s="12">
        <v>0</v>
      </c>
      <c r="BD59" s="12">
        <v>0</v>
      </c>
      <c r="BE59" s="12">
        <v>47</v>
      </c>
      <c r="BF59" s="12">
        <v>39</v>
      </c>
      <c r="BP59" s="7"/>
      <c r="BQ59" s="14">
        <v>209</v>
      </c>
      <c r="BR59" s="14">
        <v>148</v>
      </c>
      <c r="BS59" s="14">
        <v>0</v>
      </c>
      <c r="BT59" s="14">
        <v>2</v>
      </c>
      <c r="BU59" s="14">
        <v>54</v>
      </c>
      <c r="BV59" s="14">
        <v>37</v>
      </c>
      <c r="CF59" s="3"/>
      <c r="CG59" s="12">
        <v>315</v>
      </c>
      <c r="CH59" s="12">
        <v>218</v>
      </c>
      <c r="CI59" s="12">
        <v>0</v>
      </c>
      <c r="CJ59" s="12">
        <v>0</v>
      </c>
      <c r="CK59" s="12">
        <v>60</v>
      </c>
      <c r="CL59" s="12">
        <v>51</v>
      </c>
    </row>
    <row r="60" spans="4:90" x14ac:dyDescent="0.3">
      <c r="D60" s="31">
        <v>45943</v>
      </c>
      <c r="E60" s="12">
        <v>108</v>
      </c>
      <c r="F60" s="12">
        <v>49</v>
      </c>
      <c r="G60" s="12">
        <v>16</v>
      </c>
      <c r="H60" s="12">
        <v>14</v>
      </c>
      <c r="I60" s="12">
        <v>14</v>
      </c>
      <c r="J60" s="12">
        <v>13</v>
      </c>
      <c r="T60" s="33">
        <v>45943</v>
      </c>
      <c r="U60" s="14">
        <v>181</v>
      </c>
      <c r="V60" s="14">
        <v>78</v>
      </c>
      <c r="W60" s="14">
        <v>27</v>
      </c>
      <c r="X60" s="14">
        <v>24</v>
      </c>
      <c r="Y60" s="14">
        <v>40</v>
      </c>
      <c r="Z60" s="14">
        <v>20</v>
      </c>
      <c r="AJ60" s="31">
        <v>45943</v>
      </c>
      <c r="AK60" s="12">
        <v>63</v>
      </c>
      <c r="AL60" s="12">
        <v>37</v>
      </c>
      <c r="AM60" s="12">
        <v>10</v>
      </c>
      <c r="AN60" s="12">
        <v>13</v>
      </c>
      <c r="AO60" s="12">
        <v>20</v>
      </c>
      <c r="AP60" s="12">
        <v>13</v>
      </c>
      <c r="AZ60" s="31">
        <v>45943</v>
      </c>
      <c r="BA60" s="12">
        <v>173</v>
      </c>
      <c r="BB60" s="12">
        <v>71</v>
      </c>
      <c r="BC60" s="12">
        <v>20</v>
      </c>
      <c r="BD60" s="12">
        <v>22</v>
      </c>
      <c r="BE60" s="12">
        <v>39</v>
      </c>
      <c r="BF60" s="12">
        <v>22</v>
      </c>
      <c r="BP60" s="33">
        <v>45943</v>
      </c>
      <c r="BQ60" s="14">
        <v>229</v>
      </c>
      <c r="BR60" s="14">
        <v>150</v>
      </c>
      <c r="BS60" s="14">
        <v>21</v>
      </c>
      <c r="BT60" s="14">
        <v>22</v>
      </c>
      <c r="BU60" s="14">
        <v>43</v>
      </c>
      <c r="BV60" s="14">
        <v>24</v>
      </c>
      <c r="CF60" s="31">
        <v>45943</v>
      </c>
      <c r="CG60" s="12">
        <v>348</v>
      </c>
      <c r="CH60" s="12">
        <v>203</v>
      </c>
      <c r="CI60" s="12">
        <v>54</v>
      </c>
      <c r="CJ60" s="12">
        <v>50</v>
      </c>
      <c r="CK60" s="12">
        <v>62</v>
      </c>
      <c r="CL60" s="12">
        <v>50</v>
      </c>
    </row>
    <row r="61" spans="4:90" x14ac:dyDescent="0.3">
      <c r="D61" s="3"/>
      <c r="E61" s="12">
        <v>99</v>
      </c>
      <c r="F61" s="12">
        <v>33</v>
      </c>
      <c r="G61" s="12">
        <v>23</v>
      </c>
      <c r="H61" s="12">
        <v>24</v>
      </c>
      <c r="I61" s="12">
        <v>15</v>
      </c>
      <c r="J61" s="12">
        <v>20</v>
      </c>
      <c r="T61" s="7"/>
      <c r="U61" s="14">
        <v>142</v>
      </c>
      <c r="V61" s="14">
        <v>53</v>
      </c>
      <c r="W61" s="14">
        <v>37</v>
      </c>
      <c r="X61" s="14">
        <v>36</v>
      </c>
      <c r="Y61" s="14">
        <v>33</v>
      </c>
      <c r="Z61" s="14">
        <v>20</v>
      </c>
      <c r="AJ61" s="3"/>
      <c r="AK61" s="12">
        <v>90</v>
      </c>
      <c r="AL61" s="12">
        <v>39</v>
      </c>
      <c r="AM61" s="12">
        <v>0</v>
      </c>
      <c r="AN61" s="12">
        <v>1</v>
      </c>
      <c r="AO61" s="12">
        <v>18</v>
      </c>
      <c r="AP61" s="12">
        <v>10</v>
      </c>
      <c r="AZ61" s="3"/>
      <c r="BA61" s="12">
        <v>201</v>
      </c>
      <c r="BB61" s="12">
        <v>121</v>
      </c>
      <c r="BC61" s="12">
        <v>0</v>
      </c>
      <c r="BD61" s="12">
        <v>0</v>
      </c>
      <c r="BE61" s="12">
        <v>33</v>
      </c>
      <c r="BF61" s="12">
        <v>21</v>
      </c>
      <c r="BP61" s="7"/>
      <c r="BQ61" s="14">
        <v>270</v>
      </c>
      <c r="BR61" s="14">
        <v>157</v>
      </c>
      <c r="BS61" s="14">
        <v>0</v>
      </c>
      <c r="BT61" s="14">
        <v>3</v>
      </c>
      <c r="BU61" s="14">
        <v>38</v>
      </c>
      <c r="BV61" s="14">
        <v>27</v>
      </c>
      <c r="CF61" s="3"/>
      <c r="CG61" s="12">
        <v>317</v>
      </c>
      <c r="CH61" s="12">
        <v>206</v>
      </c>
      <c r="CI61" s="12">
        <v>0</v>
      </c>
      <c r="CJ61" s="12">
        <v>0</v>
      </c>
      <c r="CK61" s="12">
        <v>76</v>
      </c>
      <c r="CL61" s="12">
        <v>48</v>
      </c>
    </row>
    <row r="62" spans="4:90" x14ac:dyDescent="0.3">
      <c r="D62" s="3"/>
      <c r="E62" s="12">
        <v>112</v>
      </c>
      <c r="F62" s="12">
        <v>47</v>
      </c>
      <c r="G62" s="12">
        <v>0</v>
      </c>
      <c r="H62" s="12">
        <v>2</v>
      </c>
      <c r="I62" s="12">
        <v>17</v>
      </c>
      <c r="J62" s="12">
        <v>14</v>
      </c>
      <c r="T62" s="7"/>
      <c r="U62" s="14">
        <v>168</v>
      </c>
      <c r="V62" s="14">
        <v>82</v>
      </c>
      <c r="W62" s="14">
        <v>0</v>
      </c>
      <c r="X62" s="14">
        <v>0</v>
      </c>
      <c r="Y62" s="14">
        <v>36</v>
      </c>
      <c r="Z62" s="14">
        <v>21</v>
      </c>
      <c r="AJ62" s="3"/>
      <c r="AK62" s="12">
        <v>70</v>
      </c>
      <c r="AL62" s="12">
        <v>57</v>
      </c>
      <c r="AM62" s="12">
        <v>0</v>
      </c>
      <c r="AN62" s="12">
        <v>1</v>
      </c>
      <c r="AO62" s="12">
        <v>15</v>
      </c>
      <c r="AP62" s="12">
        <v>15</v>
      </c>
      <c r="AZ62" s="3"/>
      <c r="BA62" s="12">
        <v>185</v>
      </c>
      <c r="BB62" s="12">
        <v>147</v>
      </c>
      <c r="BC62" s="12">
        <v>0</v>
      </c>
      <c r="BD62" s="12">
        <v>0</v>
      </c>
      <c r="BE62" s="12">
        <v>39</v>
      </c>
      <c r="BF62" s="12">
        <v>29</v>
      </c>
      <c r="BP62" s="7"/>
      <c r="BQ62" s="14">
        <v>202</v>
      </c>
      <c r="BR62" s="14">
        <v>226</v>
      </c>
      <c r="BS62" s="14">
        <v>0</v>
      </c>
      <c r="BT62" s="14">
        <v>3</v>
      </c>
      <c r="BU62" s="14">
        <v>60</v>
      </c>
      <c r="BV62" s="14">
        <v>29</v>
      </c>
      <c r="CF62" s="3"/>
      <c r="CG62" s="12">
        <v>290</v>
      </c>
      <c r="CH62" s="12">
        <v>204</v>
      </c>
      <c r="CI62" s="12">
        <v>0</v>
      </c>
      <c r="CJ62" s="12">
        <v>0</v>
      </c>
      <c r="CK62" s="12">
        <v>71</v>
      </c>
      <c r="CL62" s="12">
        <v>37</v>
      </c>
    </row>
    <row r="63" spans="4:90" x14ac:dyDescent="0.3">
      <c r="D63" s="3"/>
      <c r="E63" s="12">
        <v>127</v>
      </c>
      <c r="F63" s="12">
        <v>68</v>
      </c>
      <c r="G63" s="12">
        <v>0</v>
      </c>
      <c r="H63" s="12">
        <v>0</v>
      </c>
      <c r="I63" s="12">
        <v>30</v>
      </c>
      <c r="J63" s="12">
        <v>15</v>
      </c>
      <c r="T63" s="7"/>
      <c r="U63" s="14">
        <v>169</v>
      </c>
      <c r="V63" s="14">
        <v>76</v>
      </c>
      <c r="W63" s="14">
        <v>0</v>
      </c>
      <c r="X63" s="14">
        <v>0</v>
      </c>
      <c r="Y63" s="14">
        <v>22</v>
      </c>
      <c r="Z63" s="14">
        <v>27</v>
      </c>
      <c r="AJ63" s="3"/>
      <c r="AK63" s="12">
        <v>97</v>
      </c>
      <c r="AL63" s="12">
        <v>60</v>
      </c>
      <c r="AM63" s="12">
        <v>0</v>
      </c>
      <c r="AN63" s="12">
        <v>0</v>
      </c>
      <c r="AO63" s="12">
        <v>15</v>
      </c>
      <c r="AP63" s="12">
        <v>18</v>
      </c>
      <c r="AZ63" s="3"/>
      <c r="BA63" s="12">
        <v>155</v>
      </c>
      <c r="BB63" s="12">
        <v>125</v>
      </c>
      <c r="BC63" s="12">
        <v>0</v>
      </c>
      <c r="BD63" s="12">
        <v>0</v>
      </c>
      <c r="BE63" s="12">
        <v>17</v>
      </c>
      <c r="BF63" s="12">
        <v>33</v>
      </c>
      <c r="BP63" s="7"/>
      <c r="BQ63" s="14">
        <v>206</v>
      </c>
      <c r="BR63" s="14">
        <v>117</v>
      </c>
      <c r="BS63" s="14">
        <v>0</v>
      </c>
      <c r="BT63" s="14">
        <v>0</v>
      </c>
      <c r="BU63" s="14">
        <v>37</v>
      </c>
      <c r="BV63" s="14">
        <v>38</v>
      </c>
      <c r="CF63" s="3"/>
      <c r="CG63" s="12">
        <v>335</v>
      </c>
      <c r="CH63" s="12">
        <v>190</v>
      </c>
      <c r="CI63" s="12">
        <v>0</v>
      </c>
      <c r="CJ63" s="12">
        <v>0</v>
      </c>
      <c r="CK63" s="12">
        <v>84</v>
      </c>
      <c r="CL63" s="12">
        <v>55</v>
      </c>
    </row>
    <row r="64" spans="4:90" x14ac:dyDescent="0.3">
      <c r="D64" s="3"/>
      <c r="E64" s="12">
        <v>115</v>
      </c>
      <c r="F64" s="12">
        <v>61</v>
      </c>
      <c r="G64" s="12">
        <v>0</v>
      </c>
      <c r="H64" s="12">
        <v>0</v>
      </c>
      <c r="I64" s="12">
        <v>18</v>
      </c>
      <c r="J64" s="12">
        <v>16</v>
      </c>
      <c r="T64" s="7"/>
      <c r="U64" s="14">
        <v>151</v>
      </c>
      <c r="V64" s="14">
        <v>83</v>
      </c>
      <c r="W64" s="14">
        <v>0</v>
      </c>
      <c r="X64" s="14">
        <v>0</v>
      </c>
      <c r="Y64" s="14">
        <v>32</v>
      </c>
      <c r="Z64" s="14">
        <v>18</v>
      </c>
      <c r="AJ64" s="3"/>
      <c r="AK64" s="12">
        <v>78</v>
      </c>
      <c r="AL64" s="12">
        <v>38</v>
      </c>
      <c r="AM64" s="12">
        <v>0</v>
      </c>
      <c r="AN64" s="12">
        <v>0</v>
      </c>
      <c r="AO64" s="12">
        <v>19</v>
      </c>
      <c r="AP64" s="12">
        <v>7</v>
      </c>
      <c r="AZ64" s="3"/>
      <c r="BA64" s="12">
        <v>178</v>
      </c>
      <c r="BB64" s="12">
        <v>158</v>
      </c>
      <c r="BC64" s="12">
        <v>0</v>
      </c>
      <c r="BD64" s="12">
        <v>0</v>
      </c>
      <c r="BE64" s="12">
        <v>47</v>
      </c>
      <c r="BF64" s="12">
        <v>39</v>
      </c>
      <c r="BP64" s="7"/>
      <c r="BQ64" s="14">
        <v>209</v>
      </c>
      <c r="BR64" s="14">
        <v>148</v>
      </c>
      <c r="BS64" s="14">
        <v>0</v>
      </c>
      <c r="BT64" s="14">
        <v>2</v>
      </c>
      <c r="BU64" s="14">
        <v>54</v>
      </c>
      <c r="BV64" s="14">
        <v>37</v>
      </c>
      <c r="CF64" s="3"/>
      <c r="CG64" s="12">
        <v>315</v>
      </c>
      <c r="CH64" s="12">
        <v>218</v>
      </c>
      <c r="CI64" s="12">
        <v>0</v>
      </c>
      <c r="CJ64" s="12">
        <v>0</v>
      </c>
      <c r="CK64" s="12">
        <v>60</v>
      </c>
      <c r="CL64" s="12">
        <v>51</v>
      </c>
    </row>
    <row r="65" spans="4:90" x14ac:dyDescent="0.3">
      <c r="D65" s="3"/>
      <c r="E65" s="12">
        <v>145</v>
      </c>
      <c r="F65" s="12">
        <v>50</v>
      </c>
      <c r="G65" s="12">
        <v>0</v>
      </c>
      <c r="H65" s="12">
        <v>1</v>
      </c>
      <c r="I65" s="12">
        <v>21</v>
      </c>
      <c r="J65" s="12">
        <v>14</v>
      </c>
      <c r="T65" s="7"/>
      <c r="U65" s="14">
        <v>133</v>
      </c>
      <c r="V65" s="14">
        <v>83</v>
      </c>
      <c r="W65" s="14">
        <v>0</v>
      </c>
      <c r="X65" s="14">
        <v>0</v>
      </c>
      <c r="Y65" s="14">
        <v>27</v>
      </c>
      <c r="Z65" s="14">
        <v>26</v>
      </c>
      <c r="AJ65" s="3"/>
      <c r="AK65" s="12">
        <v>91</v>
      </c>
      <c r="AL65" s="12">
        <v>47</v>
      </c>
      <c r="AM65" s="12">
        <v>0</v>
      </c>
      <c r="AN65" s="12">
        <v>0</v>
      </c>
      <c r="AO65" s="12">
        <v>28</v>
      </c>
      <c r="AP65" s="12">
        <v>17</v>
      </c>
      <c r="AZ65" s="3"/>
      <c r="BA65" s="12">
        <v>160</v>
      </c>
      <c r="BB65" s="12">
        <v>139</v>
      </c>
      <c r="BC65" s="12">
        <v>0</v>
      </c>
      <c r="BD65" s="12">
        <v>0</v>
      </c>
      <c r="BE65" s="12">
        <v>47</v>
      </c>
      <c r="BF65" s="12">
        <v>32</v>
      </c>
      <c r="BP65" s="7"/>
      <c r="BQ65" s="14">
        <v>206</v>
      </c>
      <c r="BR65" s="14">
        <v>143</v>
      </c>
      <c r="BS65" s="14">
        <v>0</v>
      </c>
      <c r="BT65" s="14">
        <v>0</v>
      </c>
      <c r="BU65" s="14">
        <v>46</v>
      </c>
      <c r="BV65" s="14">
        <v>39</v>
      </c>
      <c r="CF65" s="3"/>
      <c r="CG65" s="12">
        <v>334</v>
      </c>
      <c r="CH65" s="12">
        <v>189</v>
      </c>
      <c r="CI65" s="12">
        <v>0</v>
      </c>
      <c r="CJ65" s="12">
        <v>0</v>
      </c>
      <c r="CK65" s="12">
        <v>64</v>
      </c>
      <c r="CL65" s="12">
        <v>49</v>
      </c>
    </row>
    <row r="66" spans="4:90" x14ac:dyDescent="0.3">
      <c r="D66" s="31">
        <v>45950</v>
      </c>
      <c r="E66" s="12">
        <v>99</v>
      </c>
      <c r="F66" s="12">
        <v>33</v>
      </c>
      <c r="G66" s="12">
        <v>23</v>
      </c>
      <c r="H66" s="12">
        <v>24</v>
      </c>
      <c r="I66" s="12">
        <v>15</v>
      </c>
      <c r="J66" s="12">
        <v>20</v>
      </c>
      <c r="T66" s="33">
        <v>45950</v>
      </c>
      <c r="U66" s="14">
        <v>142</v>
      </c>
      <c r="V66" s="14">
        <v>53</v>
      </c>
      <c r="W66" s="14">
        <v>37</v>
      </c>
      <c r="X66" s="14">
        <v>36</v>
      </c>
      <c r="Y66" s="14">
        <v>33</v>
      </c>
      <c r="Z66" s="14">
        <v>20</v>
      </c>
      <c r="AJ66" s="31">
        <v>45950</v>
      </c>
      <c r="AK66" s="12">
        <v>90</v>
      </c>
      <c r="AL66" s="12">
        <v>39</v>
      </c>
      <c r="AM66" s="12">
        <v>0</v>
      </c>
      <c r="AN66" s="12">
        <v>1</v>
      </c>
      <c r="AO66" s="12">
        <v>18</v>
      </c>
      <c r="AP66" s="12">
        <v>10</v>
      </c>
      <c r="AZ66" s="31">
        <v>45950</v>
      </c>
      <c r="BA66" s="12">
        <v>201</v>
      </c>
      <c r="BB66" s="12">
        <v>121</v>
      </c>
      <c r="BC66" s="12">
        <v>0</v>
      </c>
      <c r="BD66" s="12">
        <v>0</v>
      </c>
      <c r="BE66" s="12">
        <v>33</v>
      </c>
      <c r="BF66" s="12">
        <v>21</v>
      </c>
      <c r="BP66" s="33">
        <v>45950</v>
      </c>
      <c r="BQ66" s="14">
        <v>270</v>
      </c>
      <c r="BR66" s="14">
        <v>157</v>
      </c>
      <c r="BS66" s="14">
        <v>0</v>
      </c>
      <c r="BT66" s="14">
        <v>3</v>
      </c>
      <c r="BU66" s="14">
        <v>38</v>
      </c>
      <c r="BV66" s="14">
        <v>27</v>
      </c>
      <c r="CF66" s="31">
        <v>45950</v>
      </c>
      <c r="CG66" s="12">
        <v>317</v>
      </c>
      <c r="CH66" s="12">
        <v>206</v>
      </c>
      <c r="CI66" s="12">
        <v>0</v>
      </c>
      <c r="CJ66" s="12">
        <v>0</v>
      </c>
      <c r="CK66" s="12">
        <v>76</v>
      </c>
      <c r="CL66" s="12">
        <v>48</v>
      </c>
    </row>
    <row r="67" spans="4:90" x14ac:dyDescent="0.3">
      <c r="D67" s="3"/>
      <c r="E67" s="12">
        <v>112</v>
      </c>
      <c r="F67" s="12">
        <v>47</v>
      </c>
      <c r="G67" s="12">
        <v>0</v>
      </c>
      <c r="H67" s="12">
        <v>2</v>
      </c>
      <c r="I67" s="12">
        <v>17</v>
      </c>
      <c r="J67" s="12">
        <v>14</v>
      </c>
      <c r="T67" s="7"/>
      <c r="U67" s="14">
        <v>168</v>
      </c>
      <c r="V67" s="14">
        <v>82</v>
      </c>
      <c r="W67" s="14">
        <v>0</v>
      </c>
      <c r="X67" s="14">
        <v>0</v>
      </c>
      <c r="Y67" s="14">
        <v>36</v>
      </c>
      <c r="Z67" s="14">
        <v>21</v>
      </c>
      <c r="AJ67" s="3"/>
      <c r="AK67" s="12">
        <v>70</v>
      </c>
      <c r="AL67" s="12">
        <v>57</v>
      </c>
      <c r="AM67" s="12">
        <v>0</v>
      </c>
      <c r="AN67" s="12">
        <v>1</v>
      </c>
      <c r="AO67" s="12">
        <v>15</v>
      </c>
      <c r="AP67" s="12">
        <v>15</v>
      </c>
      <c r="AZ67" s="3"/>
      <c r="BA67" s="12">
        <v>185</v>
      </c>
      <c r="BB67" s="12">
        <v>147</v>
      </c>
      <c r="BC67" s="12">
        <v>0</v>
      </c>
      <c r="BD67" s="12">
        <v>0</v>
      </c>
      <c r="BE67" s="12">
        <v>39</v>
      </c>
      <c r="BF67" s="12">
        <v>29</v>
      </c>
      <c r="BP67" s="7"/>
      <c r="BQ67" s="14">
        <v>202</v>
      </c>
      <c r="BR67" s="14">
        <v>226</v>
      </c>
      <c r="BS67" s="14">
        <v>0</v>
      </c>
      <c r="BT67" s="14">
        <v>3</v>
      </c>
      <c r="BU67" s="14">
        <v>60</v>
      </c>
      <c r="BV67" s="14">
        <v>29</v>
      </c>
      <c r="CF67" s="3"/>
      <c r="CG67" s="12">
        <v>290</v>
      </c>
      <c r="CH67" s="12">
        <v>204</v>
      </c>
      <c r="CI67" s="12">
        <v>0</v>
      </c>
      <c r="CJ67" s="12">
        <v>0</v>
      </c>
      <c r="CK67" s="12">
        <v>71</v>
      </c>
      <c r="CL67" s="12">
        <v>37</v>
      </c>
    </row>
    <row r="68" spans="4:90" x14ac:dyDescent="0.3">
      <c r="D68" s="3"/>
      <c r="E68" s="12">
        <v>127</v>
      </c>
      <c r="F68" s="12">
        <v>68</v>
      </c>
      <c r="G68" s="12">
        <v>0</v>
      </c>
      <c r="H68" s="12">
        <v>0</v>
      </c>
      <c r="I68" s="12">
        <v>30</v>
      </c>
      <c r="J68" s="12">
        <v>15</v>
      </c>
      <c r="T68" s="7"/>
      <c r="U68" s="14">
        <v>169</v>
      </c>
      <c r="V68" s="14">
        <v>76</v>
      </c>
      <c r="W68" s="14">
        <v>0</v>
      </c>
      <c r="X68" s="14">
        <v>0</v>
      </c>
      <c r="Y68" s="14">
        <v>22</v>
      </c>
      <c r="Z68" s="14">
        <v>27</v>
      </c>
      <c r="AJ68" s="3"/>
      <c r="AK68" s="12">
        <v>97</v>
      </c>
      <c r="AL68" s="12">
        <v>60</v>
      </c>
      <c r="AM68" s="12">
        <v>0</v>
      </c>
      <c r="AN68" s="12">
        <v>0</v>
      </c>
      <c r="AO68" s="12">
        <v>15</v>
      </c>
      <c r="AP68" s="12">
        <v>18</v>
      </c>
      <c r="AZ68" s="3"/>
      <c r="BA68" s="12">
        <v>155</v>
      </c>
      <c r="BB68" s="12">
        <v>125</v>
      </c>
      <c r="BC68" s="12">
        <v>0</v>
      </c>
      <c r="BD68" s="12">
        <v>0</v>
      </c>
      <c r="BE68" s="12">
        <v>17</v>
      </c>
      <c r="BF68" s="12">
        <v>33</v>
      </c>
      <c r="BP68" s="7"/>
      <c r="BQ68" s="14">
        <v>206</v>
      </c>
      <c r="BR68" s="14">
        <v>117</v>
      </c>
      <c r="BS68" s="14">
        <v>0</v>
      </c>
      <c r="BT68" s="14">
        <v>0</v>
      </c>
      <c r="BU68" s="14">
        <v>37</v>
      </c>
      <c r="BV68" s="14">
        <v>38</v>
      </c>
      <c r="CF68" s="3"/>
      <c r="CG68" s="12">
        <v>335</v>
      </c>
      <c r="CH68" s="12">
        <v>190</v>
      </c>
      <c r="CI68" s="12">
        <v>0</v>
      </c>
      <c r="CJ68" s="12">
        <v>0</v>
      </c>
      <c r="CK68" s="12">
        <v>84</v>
      </c>
      <c r="CL68" s="12">
        <v>55</v>
      </c>
    </row>
    <row r="69" spans="4:90" x14ac:dyDescent="0.3">
      <c r="D69" s="3"/>
      <c r="E69" s="12">
        <v>115</v>
      </c>
      <c r="F69" s="12">
        <v>61</v>
      </c>
      <c r="G69" s="12">
        <v>0</v>
      </c>
      <c r="H69" s="12">
        <v>0</v>
      </c>
      <c r="I69" s="12">
        <v>18</v>
      </c>
      <c r="J69" s="12">
        <v>16</v>
      </c>
      <c r="T69" s="7"/>
      <c r="U69" s="14">
        <v>151</v>
      </c>
      <c r="V69" s="14">
        <v>83</v>
      </c>
      <c r="W69" s="14">
        <v>0</v>
      </c>
      <c r="X69" s="14">
        <v>0</v>
      </c>
      <c r="Y69" s="14">
        <v>32</v>
      </c>
      <c r="Z69" s="14">
        <v>18</v>
      </c>
      <c r="AJ69" s="3"/>
      <c r="AK69" s="12">
        <v>78</v>
      </c>
      <c r="AL69" s="12">
        <v>38</v>
      </c>
      <c r="AM69" s="12">
        <v>0</v>
      </c>
      <c r="AN69" s="12">
        <v>0</v>
      </c>
      <c r="AO69" s="12">
        <v>19</v>
      </c>
      <c r="AP69" s="12">
        <v>7</v>
      </c>
      <c r="AZ69" s="3"/>
      <c r="BA69" s="12">
        <v>178</v>
      </c>
      <c r="BB69" s="12">
        <v>158</v>
      </c>
      <c r="BC69" s="12">
        <v>0</v>
      </c>
      <c r="BD69" s="12">
        <v>0</v>
      </c>
      <c r="BE69" s="12">
        <v>47</v>
      </c>
      <c r="BF69" s="12">
        <v>39</v>
      </c>
      <c r="BP69" s="7"/>
      <c r="BQ69" s="14">
        <v>209</v>
      </c>
      <c r="BR69" s="14">
        <v>148</v>
      </c>
      <c r="BS69" s="14">
        <v>0</v>
      </c>
      <c r="BT69" s="14">
        <v>2</v>
      </c>
      <c r="BU69" s="14">
        <v>54</v>
      </c>
      <c r="BV69" s="14">
        <v>37</v>
      </c>
      <c r="CF69" s="3"/>
      <c r="CG69" s="12">
        <v>315</v>
      </c>
      <c r="CH69" s="12">
        <v>218</v>
      </c>
      <c r="CI69" s="12">
        <v>0</v>
      </c>
      <c r="CJ69" s="12">
        <v>0</v>
      </c>
      <c r="CK69" s="12">
        <v>60</v>
      </c>
      <c r="CL69" s="12">
        <v>51</v>
      </c>
    </row>
    <row r="70" spans="4:90" x14ac:dyDescent="0.3">
      <c r="D70" s="3"/>
      <c r="E70" s="12">
        <v>145</v>
      </c>
      <c r="F70" s="12">
        <v>50</v>
      </c>
      <c r="G70" s="12">
        <v>0</v>
      </c>
      <c r="H70" s="12">
        <v>1</v>
      </c>
      <c r="I70" s="12">
        <v>21</v>
      </c>
      <c r="J70" s="12">
        <v>14</v>
      </c>
      <c r="T70" s="7"/>
      <c r="U70" s="14">
        <v>133</v>
      </c>
      <c r="V70" s="14">
        <v>83</v>
      </c>
      <c r="W70" s="14">
        <v>0</v>
      </c>
      <c r="X70" s="14">
        <v>0</v>
      </c>
      <c r="Y70" s="14">
        <v>27</v>
      </c>
      <c r="Z70" s="14">
        <v>26</v>
      </c>
      <c r="AJ70" s="3"/>
      <c r="AK70" s="12">
        <v>91</v>
      </c>
      <c r="AL70" s="12">
        <v>47</v>
      </c>
      <c r="AM70" s="12">
        <v>0</v>
      </c>
      <c r="AN70" s="12">
        <v>0</v>
      </c>
      <c r="AO70" s="12">
        <v>28</v>
      </c>
      <c r="AP70" s="12">
        <v>17</v>
      </c>
      <c r="AZ70" s="3"/>
      <c r="BA70" s="12">
        <v>160</v>
      </c>
      <c r="BB70" s="12">
        <v>139</v>
      </c>
      <c r="BC70" s="12">
        <v>0</v>
      </c>
      <c r="BD70" s="12">
        <v>0</v>
      </c>
      <c r="BE70" s="12">
        <v>47</v>
      </c>
      <c r="BF70" s="12">
        <v>32</v>
      </c>
      <c r="BP70" s="7"/>
      <c r="BQ70" s="14">
        <v>206</v>
      </c>
      <c r="BR70" s="14">
        <v>143</v>
      </c>
      <c r="BS70" s="14">
        <v>0</v>
      </c>
      <c r="BT70" s="14">
        <v>0</v>
      </c>
      <c r="BU70" s="14">
        <v>46</v>
      </c>
      <c r="BV70" s="14">
        <v>39</v>
      </c>
      <c r="CF70" s="3"/>
      <c r="CG70" s="12">
        <v>334</v>
      </c>
      <c r="CH70" s="12">
        <v>189</v>
      </c>
      <c r="CI70" s="12">
        <v>0</v>
      </c>
      <c r="CJ70" s="12">
        <v>0</v>
      </c>
      <c r="CK70" s="12">
        <v>64</v>
      </c>
      <c r="CL70" s="12">
        <v>49</v>
      </c>
    </row>
    <row r="71" spans="4:90" x14ac:dyDescent="0.3">
      <c r="D71" s="3"/>
      <c r="E71" s="12">
        <v>126</v>
      </c>
      <c r="F71" s="12">
        <v>69</v>
      </c>
      <c r="G71" s="12">
        <v>0</v>
      </c>
      <c r="H71" s="12">
        <v>0</v>
      </c>
      <c r="I71" s="12">
        <v>22</v>
      </c>
      <c r="J71" s="12">
        <v>12</v>
      </c>
      <c r="T71" s="7"/>
      <c r="U71" s="14">
        <v>180</v>
      </c>
      <c r="V71" s="14">
        <v>68</v>
      </c>
      <c r="W71" s="14">
        <v>0</v>
      </c>
      <c r="X71" s="14">
        <v>0</v>
      </c>
      <c r="Y71" s="14">
        <v>42</v>
      </c>
      <c r="Z71" s="14">
        <v>25</v>
      </c>
      <c r="AJ71" s="3"/>
      <c r="AK71" s="12">
        <v>79</v>
      </c>
      <c r="AL71" s="12">
        <v>43</v>
      </c>
      <c r="AM71" s="12">
        <v>0</v>
      </c>
      <c r="AN71" s="12">
        <v>0</v>
      </c>
      <c r="AO71" s="12">
        <v>19</v>
      </c>
      <c r="AP71" s="12">
        <v>11</v>
      </c>
      <c r="AZ71" s="3"/>
      <c r="BA71" s="12">
        <v>189</v>
      </c>
      <c r="BB71" s="12">
        <v>118</v>
      </c>
      <c r="BC71" s="12">
        <v>0</v>
      </c>
      <c r="BD71" s="12">
        <v>0</v>
      </c>
      <c r="BE71" s="12">
        <v>31</v>
      </c>
      <c r="BF71" s="12">
        <v>27</v>
      </c>
      <c r="BP71" s="7"/>
      <c r="BQ71" s="14">
        <v>219</v>
      </c>
      <c r="BR71" s="14">
        <v>145</v>
      </c>
      <c r="BS71" s="14">
        <v>0</v>
      </c>
      <c r="BT71" s="14">
        <v>1</v>
      </c>
      <c r="BU71" s="14">
        <v>48</v>
      </c>
      <c r="BV71" s="14">
        <v>36</v>
      </c>
      <c r="CF71" s="3"/>
      <c r="CG71" s="12">
        <v>371</v>
      </c>
      <c r="CH71" s="12">
        <v>236</v>
      </c>
      <c r="CI71" s="12">
        <v>0</v>
      </c>
      <c r="CJ71" s="12">
        <v>0</v>
      </c>
      <c r="CK71" s="12">
        <v>80</v>
      </c>
      <c r="CL71" s="12">
        <v>47</v>
      </c>
    </row>
    <row r="72" spans="4:90" x14ac:dyDescent="0.3">
      <c r="D72" s="3"/>
      <c r="E72" s="12"/>
      <c r="F72" s="12"/>
      <c r="G72" s="12"/>
      <c r="H72" s="12"/>
      <c r="I72" s="12"/>
      <c r="J72" s="12"/>
      <c r="T72" s="7"/>
      <c r="U72" s="14"/>
      <c r="V72" s="14"/>
      <c r="W72" s="14"/>
      <c r="X72" s="14"/>
      <c r="Y72" s="14"/>
      <c r="Z72" s="14"/>
      <c r="AJ72" s="3"/>
      <c r="AK72" s="12"/>
      <c r="AL72" s="12"/>
      <c r="AM72" s="12"/>
      <c r="AN72" s="12"/>
      <c r="AO72" s="12"/>
      <c r="AP72" s="12"/>
      <c r="AZ72" s="3"/>
      <c r="BA72" s="12"/>
      <c r="BB72" s="12"/>
      <c r="BC72" s="12"/>
      <c r="BD72" s="12"/>
      <c r="BE72" s="12"/>
      <c r="BF72" s="12"/>
      <c r="BP72" s="7"/>
      <c r="BQ72" s="14"/>
      <c r="BR72" s="14"/>
      <c r="BS72" s="14"/>
      <c r="BT72" s="14"/>
      <c r="BU72" s="14"/>
      <c r="BV72" s="14"/>
      <c r="CF72" s="3"/>
      <c r="CG72" s="12"/>
      <c r="CH72" s="12"/>
      <c r="CI72" s="12"/>
      <c r="CJ72" s="12"/>
      <c r="CK72" s="12"/>
      <c r="CL72" s="12"/>
    </row>
    <row r="73" spans="4:90" x14ac:dyDescent="0.3">
      <c r="D73" s="3"/>
      <c r="E73" s="12"/>
      <c r="F73" s="12"/>
      <c r="G73" s="12"/>
      <c r="H73" s="12"/>
      <c r="I73" s="12"/>
      <c r="J73" s="12"/>
      <c r="T73" s="7"/>
      <c r="U73" s="14"/>
      <c r="V73" s="14"/>
      <c r="W73" s="14"/>
      <c r="X73" s="14"/>
      <c r="Y73" s="14"/>
      <c r="Z73" s="14"/>
      <c r="AJ73" s="3"/>
      <c r="AK73" s="12"/>
      <c r="AL73" s="12"/>
      <c r="AM73" s="12"/>
      <c r="AN73" s="12"/>
      <c r="AO73" s="12"/>
      <c r="AP73" s="12"/>
      <c r="AZ73" s="3"/>
      <c r="BA73" s="12"/>
      <c r="BB73" s="12"/>
      <c r="BC73" s="12"/>
      <c r="BD73" s="12"/>
      <c r="BE73" s="12"/>
      <c r="BF73" s="12"/>
      <c r="BP73" s="7"/>
      <c r="BQ73" s="14"/>
      <c r="BR73" s="14"/>
      <c r="BS73" s="14"/>
      <c r="BT73" s="14"/>
      <c r="BU73" s="14"/>
      <c r="BV73" s="14"/>
      <c r="CF73" s="3"/>
      <c r="CG73" s="12"/>
      <c r="CH73" s="12"/>
      <c r="CI73" s="12"/>
      <c r="CJ73" s="12"/>
      <c r="CK73" s="12"/>
      <c r="CL73" s="12"/>
    </row>
    <row r="74" spans="4:90" x14ac:dyDescent="0.3">
      <c r="D74" s="3"/>
      <c r="E74" s="12"/>
      <c r="F74" s="12"/>
      <c r="G74" s="12"/>
      <c r="H74" s="12"/>
      <c r="I74" s="12"/>
      <c r="J74" s="12"/>
      <c r="T74" s="7"/>
      <c r="U74" s="14"/>
      <c r="V74" s="14"/>
      <c r="W74" s="14"/>
      <c r="X74" s="14"/>
      <c r="Y74" s="14"/>
      <c r="Z74" s="14"/>
      <c r="AJ74" s="3"/>
      <c r="AK74" s="12"/>
      <c r="AL74" s="12"/>
      <c r="AM74" s="12"/>
      <c r="AN74" s="12"/>
      <c r="AO74" s="12"/>
      <c r="AP74" s="12"/>
      <c r="AZ74" s="3"/>
      <c r="BA74" s="12"/>
      <c r="BB74" s="12"/>
      <c r="BC74" s="12"/>
      <c r="BD74" s="12"/>
      <c r="BE74" s="12"/>
      <c r="BF74" s="12"/>
      <c r="BP74" s="7"/>
      <c r="BQ74" s="14"/>
      <c r="BR74" s="14"/>
      <c r="BS74" s="14"/>
      <c r="BT74" s="14"/>
      <c r="BU74" s="14"/>
      <c r="BV74" s="14"/>
      <c r="CF74" s="3"/>
      <c r="CG74" s="12"/>
      <c r="CH74" s="12"/>
      <c r="CI74" s="12"/>
      <c r="CJ74" s="12"/>
      <c r="CK74" s="12"/>
      <c r="CL74" s="12"/>
    </row>
    <row r="75" spans="4:90" x14ac:dyDescent="0.3">
      <c r="D75" s="3"/>
      <c r="E75" s="12"/>
      <c r="F75" s="12"/>
      <c r="G75" s="12"/>
      <c r="H75" s="12"/>
      <c r="I75" s="12"/>
      <c r="J75" s="12"/>
      <c r="T75" s="7"/>
      <c r="U75" s="14"/>
      <c r="V75" s="14"/>
      <c r="W75" s="14"/>
      <c r="X75" s="14"/>
      <c r="Y75" s="14"/>
      <c r="Z75" s="14"/>
      <c r="AJ75" s="3"/>
      <c r="AK75" s="12"/>
      <c r="AL75" s="12"/>
      <c r="AM75" s="12"/>
      <c r="AN75" s="12"/>
      <c r="AO75" s="12"/>
      <c r="AP75" s="12"/>
      <c r="AZ75" s="3"/>
      <c r="BA75" s="12"/>
      <c r="BB75" s="12"/>
      <c r="BC75" s="12"/>
      <c r="BD75" s="12"/>
      <c r="BE75" s="12"/>
      <c r="BF75" s="12"/>
      <c r="BP75" s="7"/>
      <c r="BQ75" s="14"/>
      <c r="BR75" s="14"/>
      <c r="BS75" s="14"/>
      <c r="BT75" s="14"/>
      <c r="BU75" s="14"/>
      <c r="BV75" s="14"/>
      <c r="CF75" s="3"/>
      <c r="CG75" s="12"/>
      <c r="CH75" s="12"/>
      <c r="CI75" s="12"/>
      <c r="CJ75" s="12"/>
      <c r="CK75" s="12"/>
      <c r="CL75" s="12"/>
    </row>
    <row r="76" spans="4:90" x14ac:dyDescent="0.3">
      <c r="D76" s="3"/>
      <c r="E76" s="12"/>
      <c r="F76" s="12"/>
      <c r="G76" s="12"/>
      <c r="H76" s="12"/>
      <c r="I76" s="12"/>
      <c r="J76" s="12"/>
      <c r="T76" s="7"/>
      <c r="U76" s="14"/>
      <c r="V76" s="14"/>
      <c r="W76" s="14"/>
      <c r="X76" s="14"/>
      <c r="Y76" s="14"/>
      <c r="Z76" s="14"/>
      <c r="AJ76" s="3"/>
      <c r="AK76" s="12"/>
      <c r="AL76" s="12"/>
      <c r="AM76" s="12"/>
      <c r="AN76" s="12"/>
      <c r="AO76" s="12"/>
      <c r="AP76" s="12"/>
      <c r="AZ76" s="3"/>
      <c r="BA76" s="12"/>
      <c r="BB76" s="12"/>
      <c r="BC76" s="12"/>
      <c r="BD76" s="12"/>
      <c r="BE76" s="12"/>
      <c r="BF76" s="12"/>
      <c r="BP76" s="7"/>
      <c r="BQ76" s="14"/>
      <c r="BR76" s="14"/>
      <c r="BS76" s="14"/>
      <c r="BT76" s="14"/>
      <c r="BU76" s="14"/>
      <c r="BV76" s="14"/>
      <c r="CF76" s="3"/>
      <c r="CG76" s="12"/>
      <c r="CH76" s="12"/>
      <c r="CI76" s="12"/>
      <c r="CJ76" s="12"/>
      <c r="CK76" s="12"/>
      <c r="CL76" s="12"/>
    </row>
    <row r="77" spans="4:90" x14ac:dyDescent="0.3">
      <c r="D77" s="3"/>
      <c r="E77" s="12"/>
      <c r="F77" s="12"/>
      <c r="G77" s="12"/>
      <c r="H77" s="12"/>
      <c r="I77" s="12"/>
      <c r="J77" s="12"/>
      <c r="T77" s="7"/>
      <c r="U77" s="14"/>
      <c r="V77" s="14"/>
      <c r="W77" s="14"/>
      <c r="X77" s="14"/>
      <c r="Y77" s="14"/>
      <c r="Z77" s="14"/>
      <c r="AJ77" s="3"/>
      <c r="AK77" s="12"/>
      <c r="AL77" s="12"/>
      <c r="AM77" s="12"/>
      <c r="AN77" s="12"/>
      <c r="AO77" s="12"/>
      <c r="AP77" s="12"/>
      <c r="AZ77" s="3"/>
      <c r="BA77" s="12"/>
      <c r="BB77" s="12"/>
      <c r="BC77" s="12"/>
      <c r="BD77" s="12"/>
      <c r="BE77" s="12"/>
      <c r="BF77" s="12"/>
      <c r="BP77" s="7"/>
      <c r="BQ77" s="14"/>
      <c r="BR77" s="14"/>
      <c r="BS77" s="14"/>
      <c r="BT77" s="14"/>
      <c r="BU77" s="14"/>
      <c r="BV77" s="14"/>
      <c r="CF77" s="3"/>
      <c r="CG77" s="12"/>
      <c r="CH77" s="12"/>
      <c r="CI77" s="12"/>
      <c r="CJ77" s="12"/>
      <c r="CK77" s="12"/>
      <c r="CL77" s="12"/>
    </row>
    <row r="78" spans="4:90" x14ac:dyDescent="0.3">
      <c r="D78" s="3"/>
      <c r="E78" s="12"/>
      <c r="F78" s="12"/>
      <c r="G78" s="12"/>
      <c r="H78" s="12"/>
      <c r="I78" s="12"/>
      <c r="J78" s="12"/>
      <c r="T78" s="7"/>
      <c r="U78" s="14"/>
      <c r="V78" s="14"/>
      <c r="W78" s="14"/>
      <c r="X78" s="14"/>
      <c r="Y78" s="14"/>
      <c r="Z78" s="14"/>
      <c r="AJ78" s="3"/>
      <c r="AK78" s="12"/>
      <c r="AL78" s="12"/>
      <c r="AM78" s="12"/>
      <c r="AN78" s="12"/>
      <c r="AO78" s="12"/>
      <c r="AP78" s="12"/>
      <c r="AZ78" s="3"/>
      <c r="BA78" s="12"/>
      <c r="BB78" s="12"/>
      <c r="BC78" s="12"/>
      <c r="BD78" s="12"/>
      <c r="BE78" s="12"/>
      <c r="BF78" s="12"/>
      <c r="BP78" s="7"/>
      <c r="BQ78" s="14"/>
      <c r="BR78" s="14"/>
      <c r="BS78" s="14"/>
      <c r="BT78" s="14"/>
      <c r="BU78" s="14"/>
      <c r="BV78" s="14"/>
      <c r="CF78" s="3"/>
      <c r="CG78" s="12"/>
      <c r="CH78" s="12"/>
      <c r="CI78" s="12"/>
      <c r="CJ78" s="12"/>
      <c r="CK78" s="12"/>
      <c r="CL78" s="12"/>
    </row>
    <row r="79" spans="4:90" x14ac:dyDescent="0.3">
      <c r="D79" s="3"/>
      <c r="E79" s="12"/>
      <c r="F79" s="12"/>
      <c r="G79" s="12"/>
      <c r="H79" s="12"/>
      <c r="I79" s="12"/>
      <c r="J79" s="12"/>
      <c r="T79" s="7"/>
      <c r="U79" s="14"/>
      <c r="V79" s="14"/>
      <c r="W79" s="14"/>
      <c r="X79" s="14"/>
      <c r="Y79" s="14"/>
      <c r="Z79" s="14"/>
      <c r="AJ79" s="3"/>
      <c r="AK79" s="12"/>
      <c r="AL79" s="12"/>
      <c r="AM79" s="12"/>
      <c r="AN79" s="12"/>
      <c r="AO79" s="12"/>
      <c r="AP79" s="12"/>
      <c r="AZ79" s="3"/>
      <c r="BA79" s="12"/>
      <c r="BB79" s="12"/>
      <c r="BC79" s="12"/>
      <c r="BD79" s="12"/>
      <c r="BE79" s="12"/>
      <c r="BF79" s="12"/>
      <c r="BP79" s="7"/>
      <c r="BQ79" s="14"/>
      <c r="BR79" s="14"/>
      <c r="BS79" s="14"/>
      <c r="BT79" s="14"/>
      <c r="BU79" s="14"/>
      <c r="BV79" s="14"/>
      <c r="CF79" s="3"/>
      <c r="CG79" s="12"/>
      <c r="CH79" s="12"/>
      <c r="CI79" s="12"/>
      <c r="CJ79" s="12"/>
      <c r="CK79" s="12"/>
      <c r="CL79" s="12"/>
    </row>
    <row r="80" spans="4:90" x14ac:dyDescent="0.3">
      <c r="D80" s="3"/>
      <c r="E80" s="12"/>
      <c r="F80" s="12"/>
      <c r="G80" s="12"/>
      <c r="H80" s="12"/>
      <c r="I80" s="12"/>
      <c r="J80" s="12"/>
      <c r="T80" s="7"/>
      <c r="U80" s="14"/>
      <c r="V80" s="14"/>
      <c r="W80" s="14"/>
      <c r="X80" s="14"/>
      <c r="Y80" s="14"/>
      <c r="Z80" s="14"/>
      <c r="AJ80" s="3"/>
      <c r="AK80" s="12"/>
      <c r="AL80" s="12"/>
      <c r="AM80" s="12"/>
      <c r="AN80" s="12"/>
      <c r="AO80" s="12"/>
      <c r="AP80" s="12"/>
      <c r="AZ80" s="3"/>
      <c r="BA80" s="12"/>
      <c r="BB80" s="12"/>
      <c r="BC80" s="12"/>
      <c r="BD80" s="12"/>
      <c r="BE80" s="12"/>
      <c r="BF80" s="12"/>
      <c r="BP80" s="7"/>
      <c r="BQ80" s="14"/>
      <c r="BR80" s="14"/>
      <c r="BS80" s="14"/>
      <c r="BT80" s="14"/>
      <c r="BU80" s="14"/>
      <c r="BV80" s="14"/>
      <c r="CF80" s="3"/>
      <c r="CG80" s="12"/>
      <c r="CH80" s="12"/>
      <c r="CI80" s="12"/>
      <c r="CJ80" s="12"/>
      <c r="CK80" s="12"/>
      <c r="CL80" s="12"/>
    </row>
    <row r="81" spans="4:90" x14ac:dyDescent="0.3">
      <c r="D81" s="3"/>
      <c r="E81" s="12"/>
      <c r="F81" s="12"/>
      <c r="G81" s="12"/>
      <c r="H81" s="12"/>
      <c r="I81" s="12"/>
      <c r="J81" s="12"/>
      <c r="T81" s="7"/>
      <c r="U81" s="14"/>
      <c r="V81" s="14"/>
      <c r="W81" s="14"/>
      <c r="X81" s="14"/>
      <c r="Y81" s="14"/>
      <c r="Z81" s="14"/>
      <c r="AJ81" s="3"/>
      <c r="AK81" s="12"/>
      <c r="AL81" s="12"/>
      <c r="AM81" s="12"/>
      <c r="AN81" s="12"/>
      <c r="AO81" s="12"/>
      <c r="AP81" s="12"/>
      <c r="AZ81" s="3"/>
      <c r="BA81" s="12"/>
      <c r="BB81" s="12"/>
      <c r="BC81" s="12"/>
      <c r="BD81" s="12"/>
      <c r="BE81" s="12"/>
      <c r="BF81" s="12"/>
      <c r="BP81" s="7"/>
      <c r="BQ81" s="14"/>
      <c r="BR81" s="14"/>
      <c r="BS81" s="14"/>
      <c r="BT81" s="14"/>
      <c r="BU81" s="14"/>
      <c r="BV81" s="14"/>
      <c r="CF81" s="3"/>
      <c r="CG81" s="12"/>
      <c r="CH81" s="12"/>
      <c r="CI81" s="12"/>
      <c r="CJ81" s="12"/>
      <c r="CK81" s="12"/>
      <c r="CL81" s="12"/>
    </row>
    <row r="82" spans="4:90" x14ac:dyDescent="0.3">
      <c r="D82" s="3"/>
      <c r="E82" s="12"/>
      <c r="F82" s="12"/>
      <c r="G82" s="12"/>
      <c r="H82" s="12"/>
      <c r="I82" s="12"/>
      <c r="J82" s="12"/>
      <c r="T82" s="7"/>
      <c r="U82" s="14"/>
      <c r="V82" s="14"/>
      <c r="W82" s="14"/>
      <c r="X82" s="14"/>
      <c r="Y82" s="14"/>
      <c r="Z82" s="14"/>
      <c r="AJ82" s="3"/>
      <c r="AK82" s="12"/>
      <c r="AL82" s="12"/>
      <c r="AM82" s="12"/>
      <c r="AN82" s="12"/>
      <c r="AO82" s="12"/>
      <c r="AP82" s="12"/>
      <c r="AZ82" s="3"/>
      <c r="BA82" s="12"/>
      <c r="BB82" s="12"/>
      <c r="BC82" s="12"/>
      <c r="BD82" s="12"/>
      <c r="BE82" s="12"/>
      <c r="BF82" s="12"/>
      <c r="BP82" s="7"/>
      <c r="BQ82" s="14"/>
      <c r="BR82" s="14"/>
      <c r="BS82" s="14"/>
      <c r="BT82" s="14"/>
      <c r="BU82" s="14"/>
      <c r="BV82" s="14"/>
      <c r="CF82" s="3"/>
      <c r="CG82" s="12"/>
      <c r="CH82" s="12"/>
      <c r="CI82" s="12"/>
      <c r="CJ82" s="12"/>
      <c r="CK82" s="12"/>
      <c r="CL82" s="12"/>
    </row>
    <row r="83" spans="4:90" x14ac:dyDescent="0.3">
      <c r="D83" s="3"/>
      <c r="E83" s="12"/>
      <c r="F83" s="12"/>
      <c r="G83" s="12"/>
      <c r="H83" s="12"/>
      <c r="I83" s="12"/>
      <c r="J83" s="12"/>
      <c r="T83" s="7"/>
      <c r="U83" s="14"/>
      <c r="V83" s="14"/>
      <c r="W83" s="14"/>
      <c r="X83" s="14"/>
      <c r="Y83" s="14"/>
      <c r="Z83" s="14"/>
      <c r="AJ83" s="3"/>
      <c r="AK83" s="12"/>
      <c r="AL83" s="12"/>
      <c r="AM83" s="12"/>
      <c r="AN83" s="12"/>
      <c r="AO83" s="12"/>
      <c r="AP83" s="12"/>
      <c r="AZ83" s="3"/>
      <c r="BA83" s="12"/>
      <c r="BB83" s="12"/>
      <c r="BC83" s="12"/>
      <c r="BD83" s="12"/>
      <c r="BE83" s="12"/>
      <c r="BF83" s="12"/>
      <c r="BP83" s="7"/>
      <c r="BQ83" s="14"/>
      <c r="BR83" s="14"/>
      <c r="BS83" s="14"/>
      <c r="BT83" s="14"/>
      <c r="BU83" s="14"/>
      <c r="BV83" s="14"/>
      <c r="CF83" s="3"/>
      <c r="CG83" s="12"/>
      <c r="CH83" s="12"/>
      <c r="CI83" s="12"/>
      <c r="CJ83" s="12"/>
      <c r="CK83" s="12"/>
      <c r="CL83" s="12"/>
    </row>
    <row r="84" spans="4:90" x14ac:dyDescent="0.3">
      <c r="D84" s="3"/>
      <c r="E84" s="12"/>
      <c r="F84" s="12"/>
      <c r="G84" s="12"/>
      <c r="H84" s="12"/>
      <c r="I84" s="12"/>
      <c r="J84" s="12"/>
      <c r="T84" s="7"/>
      <c r="U84" s="14"/>
      <c r="V84" s="14"/>
      <c r="W84" s="14"/>
      <c r="X84" s="14"/>
      <c r="Y84" s="14"/>
      <c r="Z84" s="14"/>
      <c r="AJ84" s="3"/>
      <c r="AK84" s="12"/>
      <c r="AL84" s="12"/>
      <c r="AM84" s="12"/>
      <c r="AN84" s="12"/>
      <c r="AO84" s="12"/>
      <c r="AP84" s="12"/>
      <c r="AZ84" s="3"/>
      <c r="BA84" s="12"/>
      <c r="BB84" s="12"/>
      <c r="BC84" s="12"/>
      <c r="BD84" s="12"/>
      <c r="BE84" s="12"/>
      <c r="BF84" s="12"/>
      <c r="BP84" s="7"/>
      <c r="BQ84" s="14"/>
      <c r="BR84" s="14"/>
      <c r="BS84" s="14"/>
      <c r="BT84" s="14"/>
      <c r="BU84" s="14"/>
      <c r="BV84" s="14"/>
      <c r="CF84" s="3"/>
      <c r="CG84" s="12"/>
      <c r="CH84" s="12"/>
      <c r="CI84" s="12"/>
      <c r="CJ84" s="12"/>
      <c r="CK84" s="12"/>
      <c r="CL84" s="12"/>
    </row>
    <row r="85" spans="4:90" x14ac:dyDescent="0.3">
      <c r="D85" s="3"/>
      <c r="E85" s="12"/>
      <c r="F85" s="12"/>
      <c r="G85" s="12"/>
      <c r="H85" s="12"/>
      <c r="I85" s="12"/>
      <c r="J85" s="12"/>
      <c r="T85" s="7"/>
      <c r="U85" s="14"/>
      <c r="V85" s="14"/>
      <c r="W85" s="14"/>
      <c r="X85" s="14"/>
      <c r="Y85" s="14"/>
      <c r="Z85" s="14"/>
      <c r="AJ85" s="3"/>
      <c r="AK85" s="12"/>
      <c r="AL85" s="12"/>
      <c r="AM85" s="12"/>
      <c r="AN85" s="12"/>
      <c r="AO85" s="12"/>
      <c r="AP85" s="12"/>
      <c r="AZ85" s="3"/>
      <c r="BA85" s="12"/>
      <c r="BB85" s="12"/>
      <c r="BC85" s="12"/>
      <c r="BD85" s="12"/>
      <c r="BE85" s="12"/>
      <c r="BF85" s="12"/>
      <c r="BP85" s="7"/>
      <c r="BQ85" s="14"/>
      <c r="BR85" s="14"/>
      <c r="BS85" s="14"/>
      <c r="BT85" s="14"/>
      <c r="BU85" s="14"/>
      <c r="BV85" s="14"/>
      <c r="CF85" s="3"/>
      <c r="CG85" s="12"/>
      <c r="CH85" s="12"/>
      <c r="CI85" s="12"/>
      <c r="CJ85" s="12"/>
      <c r="CK85" s="12"/>
      <c r="CL85" s="12"/>
    </row>
    <row r="86" spans="4:90" x14ac:dyDescent="0.3">
      <c r="D86" s="3"/>
      <c r="E86" s="12"/>
      <c r="F86" s="12"/>
      <c r="G86" s="12"/>
      <c r="H86" s="12"/>
      <c r="I86" s="12"/>
      <c r="J86" s="12"/>
      <c r="T86" s="7"/>
      <c r="U86" s="14"/>
      <c r="V86" s="14"/>
      <c r="W86" s="14"/>
      <c r="X86" s="14"/>
      <c r="Y86" s="14"/>
      <c r="Z86" s="14"/>
      <c r="AJ86" s="3"/>
      <c r="AK86" s="12"/>
      <c r="AL86" s="12"/>
      <c r="AM86" s="12"/>
      <c r="AN86" s="12"/>
      <c r="AO86" s="12"/>
      <c r="AP86" s="12"/>
      <c r="AZ86" s="3"/>
      <c r="BA86" s="12"/>
      <c r="BB86" s="12"/>
      <c r="BC86" s="12"/>
      <c r="BD86" s="12"/>
      <c r="BE86" s="12"/>
      <c r="BF86" s="12"/>
      <c r="BP86" s="7"/>
      <c r="BQ86" s="14"/>
      <c r="BR86" s="14"/>
      <c r="BS86" s="14"/>
      <c r="BT86" s="14"/>
      <c r="BU86" s="14"/>
      <c r="BV86" s="14"/>
      <c r="CF86" s="3"/>
      <c r="CG86" s="12"/>
      <c r="CH86" s="12"/>
      <c r="CI86" s="12"/>
      <c r="CJ86" s="12"/>
      <c r="CK86" s="12"/>
      <c r="CL86" s="12"/>
    </row>
    <row r="87" spans="4:90" x14ac:dyDescent="0.3">
      <c r="D87" s="3"/>
      <c r="E87" s="12"/>
      <c r="F87" s="12"/>
      <c r="G87" s="12"/>
      <c r="H87" s="12"/>
      <c r="I87" s="12"/>
      <c r="J87" s="12"/>
      <c r="T87" s="7"/>
      <c r="U87" s="14"/>
      <c r="V87" s="14"/>
      <c r="W87" s="14"/>
      <c r="X87" s="14"/>
      <c r="Y87" s="14"/>
      <c r="Z87" s="14"/>
      <c r="AJ87" s="3"/>
      <c r="AK87" s="12"/>
      <c r="AL87" s="12"/>
      <c r="AM87" s="12"/>
      <c r="AN87" s="12"/>
      <c r="AO87" s="12"/>
      <c r="AP87" s="12"/>
      <c r="AZ87" s="3"/>
      <c r="BA87" s="12"/>
      <c r="BB87" s="12"/>
      <c r="BC87" s="12"/>
      <c r="BD87" s="12"/>
      <c r="BE87" s="12"/>
      <c r="BF87" s="12"/>
      <c r="BP87" s="7"/>
      <c r="BQ87" s="14"/>
      <c r="BR87" s="14"/>
      <c r="BS87" s="14"/>
      <c r="BT87" s="14"/>
      <c r="BU87" s="14"/>
      <c r="BV87" s="14"/>
      <c r="CF87" s="3"/>
      <c r="CG87" s="12"/>
      <c r="CH87" s="12"/>
      <c r="CI87" s="12"/>
      <c r="CJ87" s="12"/>
      <c r="CK87" s="12"/>
      <c r="CL87" s="12"/>
    </row>
    <row r="88" spans="4:90" x14ac:dyDescent="0.3">
      <c r="D88" s="3"/>
      <c r="E88" s="12"/>
      <c r="F88" s="12"/>
      <c r="G88" s="12"/>
      <c r="H88" s="12"/>
      <c r="I88" s="12"/>
      <c r="J88" s="12"/>
      <c r="T88" s="7"/>
      <c r="U88" s="14"/>
      <c r="V88" s="14"/>
      <c r="W88" s="14"/>
      <c r="X88" s="14"/>
      <c r="Y88" s="14"/>
      <c r="Z88" s="14"/>
      <c r="AJ88" s="3"/>
      <c r="AK88" s="12"/>
      <c r="AL88" s="12"/>
      <c r="AM88" s="12"/>
      <c r="AN88" s="12"/>
      <c r="AO88" s="12"/>
      <c r="AP88" s="12"/>
      <c r="AZ88" s="3"/>
      <c r="BA88" s="12"/>
      <c r="BB88" s="12"/>
      <c r="BC88" s="12"/>
      <c r="BD88" s="12"/>
      <c r="BE88" s="12"/>
      <c r="BF88" s="12"/>
      <c r="BP88" s="7"/>
      <c r="BQ88" s="14"/>
      <c r="BR88" s="14"/>
      <c r="BS88" s="14"/>
      <c r="BT88" s="14"/>
      <c r="BU88" s="14"/>
      <c r="BV88" s="14"/>
      <c r="CF88" s="3"/>
      <c r="CG88" s="12"/>
      <c r="CH88" s="12"/>
      <c r="CI88" s="12"/>
      <c r="CJ88" s="12"/>
      <c r="CK88" s="12"/>
      <c r="CL88" s="12"/>
    </row>
    <row r="89" spans="4:90" x14ac:dyDescent="0.3">
      <c r="D89" s="3"/>
      <c r="E89" s="12"/>
      <c r="F89" s="12"/>
      <c r="G89" s="12"/>
      <c r="H89" s="12"/>
      <c r="I89" s="12"/>
      <c r="J89" s="12"/>
      <c r="T89" s="7"/>
      <c r="U89" s="14"/>
      <c r="V89" s="14"/>
      <c r="W89" s="14"/>
      <c r="X89" s="14"/>
      <c r="Y89" s="14"/>
      <c r="Z89" s="14"/>
      <c r="AJ89" s="3"/>
      <c r="AK89" s="12"/>
      <c r="AL89" s="12"/>
      <c r="AM89" s="12"/>
      <c r="AN89" s="12"/>
      <c r="AO89" s="12"/>
      <c r="AP89" s="12"/>
      <c r="AZ89" s="3"/>
      <c r="BA89" s="12"/>
      <c r="BB89" s="12"/>
      <c r="BC89" s="12"/>
      <c r="BD89" s="12"/>
      <c r="BE89" s="12"/>
      <c r="BF89" s="12"/>
      <c r="BP89" s="7"/>
      <c r="BQ89" s="14"/>
      <c r="BR89" s="14"/>
      <c r="BS89" s="14"/>
      <c r="BT89" s="14"/>
      <c r="BU89" s="14"/>
      <c r="BV89" s="14"/>
      <c r="CF89" s="3"/>
      <c r="CG89" s="12"/>
      <c r="CH89" s="12"/>
      <c r="CI89" s="12"/>
      <c r="CJ89" s="12"/>
      <c r="CK89" s="12"/>
      <c r="CL89" s="12"/>
    </row>
    <row r="90" spans="4:90" x14ac:dyDescent="0.3">
      <c r="D90" s="3"/>
      <c r="E90" s="12"/>
      <c r="F90" s="12"/>
      <c r="G90" s="12"/>
      <c r="H90" s="12"/>
      <c r="I90" s="12"/>
      <c r="J90" s="12"/>
      <c r="T90" s="7"/>
      <c r="U90" s="14"/>
      <c r="V90" s="14"/>
      <c r="W90" s="14"/>
      <c r="X90" s="14"/>
      <c r="Y90" s="14"/>
      <c r="Z90" s="14"/>
      <c r="AJ90" s="3"/>
      <c r="AK90" s="12"/>
      <c r="AL90" s="12"/>
      <c r="AM90" s="12"/>
      <c r="AN90" s="12"/>
      <c r="AO90" s="12"/>
      <c r="AP90" s="12"/>
      <c r="AZ90" s="3"/>
      <c r="BA90" s="12"/>
      <c r="BB90" s="12"/>
      <c r="BC90" s="12"/>
      <c r="BD90" s="12"/>
      <c r="BE90" s="12"/>
      <c r="BF90" s="12"/>
      <c r="BP90" s="7"/>
      <c r="BQ90" s="14"/>
      <c r="BR90" s="14"/>
      <c r="BS90" s="14"/>
      <c r="BT90" s="14"/>
      <c r="BU90" s="14"/>
      <c r="BV90" s="14"/>
      <c r="CF90" s="3"/>
      <c r="CG90" s="12"/>
      <c r="CH90" s="12"/>
      <c r="CI90" s="12"/>
      <c r="CJ90" s="12"/>
      <c r="CK90" s="12"/>
      <c r="CL90" s="12"/>
    </row>
    <row r="91" spans="4:90" x14ac:dyDescent="0.3">
      <c r="D91" s="3"/>
      <c r="E91" s="12"/>
      <c r="F91" s="12"/>
      <c r="G91" s="12"/>
      <c r="H91" s="12"/>
      <c r="I91" s="12"/>
      <c r="J91" s="12"/>
      <c r="T91" s="7"/>
      <c r="U91" s="14"/>
      <c r="V91" s="14"/>
      <c r="W91" s="14"/>
      <c r="X91" s="14"/>
      <c r="Y91" s="14"/>
      <c r="Z91" s="14"/>
      <c r="AJ91" s="3"/>
      <c r="AK91" s="12"/>
      <c r="AL91" s="12"/>
      <c r="AM91" s="12"/>
      <c r="AN91" s="12"/>
      <c r="AO91" s="12"/>
      <c r="AP91" s="12"/>
      <c r="AZ91" s="3"/>
      <c r="BA91" s="12"/>
      <c r="BB91" s="12"/>
      <c r="BC91" s="12"/>
      <c r="BD91" s="12"/>
      <c r="BE91" s="12"/>
      <c r="BF91" s="12"/>
      <c r="BP91" s="7"/>
      <c r="BQ91" s="14"/>
      <c r="BR91" s="14"/>
      <c r="BS91" s="14"/>
      <c r="BT91" s="14"/>
      <c r="BU91" s="14"/>
      <c r="BV91" s="14"/>
      <c r="CF91" s="3"/>
      <c r="CG91" s="12"/>
      <c r="CH91" s="12"/>
      <c r="CI91" s="12"/>
      <c r="CJ91" s="12"/>
      <c r="CK91" s="12"/>
      <c r="CL91" s="12"/>
    </row>
    <row r="92" spans="4:90" x14ac:dyDescent="0.3">
      <c r="D92" s="3"/>
      <c r="E92" s="12"/>
      <c r="F92" s="12"/>
      <c r="G92" s="12"/>
      <c r="H92" s="12"/>
      <c r="I92" s="12"/>
      <c r="J92" s="12"/>
      <c r="T92" s="7"/>
      <c r="U92" s="14"/>
      <c r="V92" s="14"/>
      <c r="W92" s="14"/>
      <c r="X92" s="14"/>
      <c r="Y92" s="14"/>
      <c r="Z92" s="14"/>
      <c r="AJ92" s="3"/>
      <c r="AK92" s="12"/>
      <c r="AL92" s="12"/>
      <c r="AM92" s="12"/>
      <c r="AN92" s="12"/>
      <c r="AO92" s="12"/>
      <c r="AP92" s="12"/>
      <c r="AZ92" s="3"/>
      <c r="BA92" s="12"/>
      <c r="BB92" s="12"/>
      <c r="BC92" s="12"/>
      <c r="BD92" s="12"/>
      <c r="BE92" s="12"/>
      <c r="BF92" s="12"/>
      <c r="BP92" s="7"/>
      <c r="BQ92" s="14"/>
      <c r="BR92" s="14"/>
      <c r="BS92" s="14"/>
      <c r="BT92" s="14"/>
      <c r="BU92" s="14"/>
      <c r="BV92" s="14"/>
      <c r="CF92" s="3"/>
      <c r="CG92" s="12"/>
      <c r="CH92" s="12"/>
      <c r="CI92" s="12"/>
      <c r="CJ92" s="12"/>
      <c r="CK92" s="12"/>
      <c r="CL92" s="12"/>
    </row>
    <row r="93" spans="4:90" x14ac:dyDescent="0.3">
      <c r="D93" s="3"/>
      <c r="E93" s="12"/>
      <c r="F93" s="12"/>
      <c r="G93" s="12"/>
      <c r="H93" s="12"/>
      <c r="I93" s="12"/>
      <c r="J93" s="12"/>
      <c r="T93" s="7"/>
      <c r="U93" s="14"/>
      <c r="V93" s="14"/>
      <c r="W93" s="14"/>
      <c r="X93" s="14"/>
      <c r="Y93" s="14"/>
      <c r="Z93" s="14"/>
      <c r="AJ93" s="3"/>
      <c r="AK93" s="12"/>
      <c r="AL93" s="12"/>
      <c r="AM93" s="12"/>
      <c r="AN93" s="12"/>
      <c r="AO93" s="12"/>
      <c r="AP93" s="12"/>
      <c r="AZ93" s="3"/>
      <c r="BA93" s="12"/>
      <c r="BB93" s="12"/>
      <c r="BC93" s="12"/>
      <c r="BD93" s="12"/>
      <c r="BE93" s="12"/>
      <c r="BF93" s="12"/>
      <c r="BP93" s="7"/>
      <c r="BQ93" s="14"/>
      <c r="BR93" s="14"/>
      <c r="BS93" s="14"/>
      <c r="BT93" s="14"/>
      <c r="BU93" s="14"/>
      <c r="BV93" s="14"/>
      <c r="CF93" s="3"/>
      <c r="CG93" s="12"/>
      <c r="CH93" s="12"/>
      <c r="CI93" s="12"/>
      <c r="CJ93" s="12"/>
      <c r="CK93" s="12"/>
      <c r="CL93" s="12"/>
    </row>
    <row r="94" spans="4:90" x14ac:dyDescent="0.3">
      <c r="D94" s="3"/>
      <c r="E94" s="12"/>
      <c r="F94" s="12"/>
      <c r="G94" s="12"/>
      <c r="H94" s="12"/>
      <c r="I94" s="12"/>
      <c r="J94" s="12"/>
      <c r="T94" s="7"/>
      <c r="U94" s="14"/>
      <c r="V94" s="14"/>
      <c r="W94" s="14"/>
      <c r="X94" s="14"/>
      <c r="Y94" s="14"/>
      <c r="Z94" s="14"/>
      <c r="AJ94" s="3"/>
      <c r="AK94" s="12"/>
      <c r="AL94" s="12"/>
      <c r="AM94" s="12"/>
      <c r="AN94" s="12"/>
      <c r="AO94" s="12"/>
      <c r="AP94" s="12"/>
      <c r="AZ94" s="3"/>
      <c r="BA94" s="12"/>
      <c r="BB94" s="12"/>
      <c r="BC94" s="12"/>
      <c r="BD94" s="12"/>
      <c r="BE94" s="12"/>
      <c r="BF94" s="12"/>
      <c r="BP94" s="7"/>
      <c r="BQ94" s="14"/>
      <c r="BR94" s="14"/>
      <c r="BS94" s="14"/>
      <c r="BT94" s="14"/>
      <c r="BU94" s="14"/>
      <c r="BV94" s="14"/>
      <c r="CF94" s="3"/>
      <c r="CG94" s="12"/>
      <c r="CH94" s="12"/>
      <c r="CI94" s="12"/>
      <c r="CJ94" s="12"/>
      <c r="CK94" s="12"/>
      <c r="CL94" s="12"/>
    </row>
    <row r="95" spans="4:90" x14ac:dyDescent="0.3">
      <c r="D95" s="3"/>
      <c r="E95" s="12"/>
      <c r="F95" s="12"/>
      <c r="G95" s="12"/>
      <c r="H95" s="12"/>
      <c r="I95" s="12"/>
      <c r="J95" s="12"/>
      <c r="T95" s="7"/>
      <c r="U95" s="14"/>
      <c r="V95" s="14"/>
      <c r="W95" s="14"/>
      <c r="X95" s="14"/>
      <c r="Y95" s="14"/>
      <c r="Z95" s="14"/>
      <c r="AJ95" s="3"/>
      <c r="AK95" s="12"/>
      <c r="AL95" s="12"/>
      <c r="AM95" s="12"/>
      <c r="AN95" s="12"/>
      <c r="AO95" s="12"/>
      <c r="AP95" s="12"/>
      <c r="AZ95" s="3"/>
      <c r="BA95" s="12"/>
      <c r="BB95" s="12"/>
      <c r="BC95" s="12"/>
      <c r="BD95" s="12"/>
      <c r="BE95" s="12"/>
      <c r="BF95" s="12"/>
      <c r="BP95" s="7"/>
      <c r="BQ95" s="14"/>
      <c r="BR95" s="14"/>
      <c r="BS95" s="14"/>
      <c r="BT95" s="14"/>
      <c r="BU95" s="14"/>
      <c r="BV95" s="14"/>
      <c r="CF95" s="3"/>
      <c r="CG95" s="12"/>
      <c r="CH95" s="12"/>
      <c r="CI95" s="12"/>
      <c r="CJ95" s="12"/>
      <c r="CK95" s="12"/>
      <c r="CL95" s="12"/>
    </row>
    <row r="96" spans="4:90" x14ac:dyDescent="0.3">
      <c r="D96" s="3"/>
      <c r="E96" s="12"/>
      <c r="F96" s="12"/>
      <c r="G96" s="12"/>
      <c r="H96" s="12"/>
      <c r="I96" s="12"/>
      <c r="J96" s="12"/>
      <c r="T96" s="7"/>
      <c r="U96" s="14"/>
      <c r="V96" s="14"/>
      <c r="W96" s="14"/>
      <c r="X96" s="14"/>
      <c r="Y96" s="14"/>
      <c r="Z96" s="14"/>
      <c r="AJ96" s="3"/>
      <c r="AK96" s="12"/>
      <c r="AL96" s="12"/>
      <c r="AM96" s="12"/>
      <c r="AN96" s="12"/>
      <c r="AO96" s="12"/>
      <c r="AP96" s="12"/>
      <c r="AZ96" s="3"/>
      <c r="BA96" s="12"/>
      <c r="BB96" s="12"/>
      <c r="BC96" s="12"/>
      <c r="BD96" s="12"/>
      <c r="BE96" s="12"/>
      <c r="BF96" s="12"/>
      <c r="BP96" s="7"/>
      <c r="BQ96" s="14"/>
      <c r="BR96" s="14"/>
      <c r="BS96" s="14"/>
      <c r="BT96" s="14"/>
      <c r="BU96" s="14"/>
      <c r="BV96" s="14"/>
      <c r="CF96" s="3"/>
      <c r="CG96" s="12"/>
      <c r="CH96" s="12"/>
      <c r="CI96" s="12"/>
      <c r="CJ96" s="12"/>
      <c r="CK96" s="12"/>
      <c r="CL96" s="12"/>
    </row>
    <row r="97" spans="4:90" x14ac:dyDescent="0.3">
      <c r="D97" s="3"/>
      <c r="E97" s="12"/>
      <c r="F97" s="12"/>
      <c r="G97" s="12"/>
      <c r="H97" s="12"/>
      <c r="I97" s="12"/>
      <c r="J97" s="12"/>
      <c r="T97" s="7"/>
      <c r="U97" s="14"/>
      <c r="V97" s="14"/>
      <c r="W97" s="14"/>
      <c r="X97" s="14"/>
      <c r="Y97" s="14"/>
      <c r="Z97" s="14"/>
      <c r="AJ97" s="3"/>
      <c r="AK97" s="12"/>
      <c r="AL97" s="12"/>
      <c r="AM97" s="12"/>
      <c r="AN97" s="12"/>
      <c r="AO97" s="12"/>
      <c r="AP97" s="12"/>
      <c r="AZ97" s="3"/>
      <c r="BA97" s="12"/>
      <c r="BB97" s="12"/>
      <c r="BC97" s="12"/>
      <c r="BD97" s="12"/>
      <c r="BE97" s="12"/>
      <c r="BF97" s="12"/>
      <c r="BP97" s="7"/>
      <c r="BQ97" s="14"/>
      <c r="BR97" s="14"/>
      <c r="BS97" s="14"/>
      <c r="BT97" s="14"/>
      <c r="BU97" s="14"/>
      <c r="BV97" s="14"/>
      <c r="CF97" s="3"/>
      <c r="CG97" s="12"/>
      <c r="CH97" s="12"/>
      <c r="CI97" s="12"/>
      <c r="CJ97" s="12"/>
      <c r="CK97" s="12"/>
      <c r="CL97" s="12"/>
    </row>
    <row r="98" spans="4:90" x14ac:dyDescent="0.3">
      <c r="D98" s="3"/>
      <c r="E98" s="12"/>
      <c r="F98" s="12"/>
      <c r="G98" s="12"/>
      <c r="H98" s="12"/>
      <c r="I98" s="12"/>
      <c r="J98" s="12"/>
      <c r="T98" s="7"/>
      <c r="U98" s="14"/>
      <c r="V98" s="14"/>
      <c r="W98" s="14"/>
      <c r="X98" s="14"/>
      <c r="Y98" s="14"/>
      <c r="Z98" s="14"/>
      <c r="AJ98" s="3"/>
      <c r="AK98" s="12"/>
      <c r="AL98" s="12"/>
      <c r="AM98" s="12"/>
      <c r="AN98" s="12"/>
      <c r="AO98" s="12"/>
      <c r="AP98" s="12"/>
      <c r="AZ98" s="3"/>
      <c r="BA98" s="12"/>
      <c r="BB98" s="12"/>
      <c r="BC98" s="12"/>
      <c r="BD98" s="12"/>
      <c r="BE98" s="12"/>
      <c r="BF98" s="12"/>
      <c r="BP98" s="7"/>
      <c r="BQ98" s="14"/>
      <c r="BR98" s="14"/>
      <c r="BS98" s="14"/>
      <c r="BT98" s="14"/>
      <c r="BU98" s="14"/>
      <c r="BV98" s="14"/>
      <c r="CF98" s="3"/>
      <c r="CG98" s="12"/>
      <c r="CH98" s="12"/>
      <c r="CI98" s="12"/>
      <c r="CJ98" s="12"/>
      <c r="CK98" s="12"/>
      <c r="CL98" s="12"/>
    </row>
    <row r="99" spans="4:90" x14ac:dyDescent="0.3">
      <c r="D99" s="3"/>
      <c r="E99" s="12"/>
      <c r="F99" s="12"/>
      <c r="G99" s="12"/>
      <c r="H99" s="12"/>
      <c r="I99" s="12"/>
      <c r="J99" s="12"/>
      <c r="T99" s="7"/>
      <c r="U99" s="14"/>
      <c r="V99" s="14"/>
      <c r="W99" s="14"/>
      <c r="X99" s="14"/>
      <c r="Y99" s="14"/>
      <c r="Z99" s="14"/>
      <c r="AJ99" s="3"/>
      <c r="AK99" s="12"/>
      <c r="AL99" s="12"/>
      <c r="AM99" s="12"/>
      <c r="AN99" s="12"/>
      <c r="AO99" s="12"/>
      <c r="AP99" s="12"/>
      <c r="AZ99" s="3"/>
      <c r="BA99" s="12"/>
      <c r="BB99" s="12"/>
      <c r="BC99" s="12"/>
      <c r="BD99" s="12"/>
      <c r="BE99" s="12"/>
      <c r="BF99" s="12"/>
      <c r="BP99" s="7"/>
      <c r="BQ99" s="14"/>
      <c r="BR99" s="14"/>
      <c r="BS99" s="14"/>
      <c r="BT99" s="14"/>
      <c r="BU99" s="14"/>
      <c r="BV99" s="14"/>
      <c r="CF99" s="3"/>
      <c r="CG99" s="12"/>
      <c r="CH99" s="12"/>
      <c r="CI99" s="12"/>
      <c r="CJ99" s="12"/>
      <c r="CK99" s="12"/>
      <c r="CL99" s="12"/>
    </row>
    <row r="100" spans="4:90" x14ac:dyDescent="0.3">
      <c r="D100" s="3"/>
      <c r="E100" s="12"/>
      <c r="F100" s="12"/>
      <c r="G100" s="12"/>
      <c r="H100" s="12"/>
      <c r="I100" s="12"/>
      <c r="J100" s="12"/>
      <c r="T100" s="7"/>
      <c r="U100" s="14"/>
      <c r="V100" s="14"/>
      <c r="W100" s="14"/>
      <c r="X100" s="14"/>
      <c r="Y100" s="14"/>
      <c r="Z100" s="14"/>
      <c r="AJ100" s="3"/>
      <c r="AK100" s="12"/>
      <c r="AL100" s="12"/>
      <c r="AM100" s="12"/>
      <c r="AN100" s="12"/>
      <c r="AO100" s="12"/>
      <c r="AP100" s="12"/>
      <c r="AZ100" s="3"/>
      <c r="BA100" s="12"/>
      <c r="BB100" s="12"/>
      <c r="BC100" s="12"/>
      <c r="BD100" s="12"/>
      <c r="BE100" s="12"/>
      <c r="BF100" s="12"/>
      <c r="BP100" s="7"/>
      <c r="BQ100" s="14"/>
      <c r="BR100" s="14"/>
      <c r="BS100" s="14"/>
      <c r="BT100" s="14"/>
      <c r="BU100" s="14"/>
      <c r="BV100" s="14"/>
      <c r="CF100" s="3"/>
      <c r="CG100" s="12"/>
      <c r="CH100" s="12"/>
      <c r="CI100" s="12"/>
      <c r="CJ100" s="12"/>
      <c r="CK100" s="12"/>
      <c r="CL100" s="12"/>
    </row>
    <row r="101" spans="4:90" x14ac:dyDescent="0.3">
      <c r="D101" s="3"/>
      <c r="E101" s="12"/>
      <c r="F101" s="12"/>
      <c r="G101" s="12"/>
      <c r="H101" s="12"/>
      <c r="I101" s="12"/>
      <c r="J101" s="12"/>
      <c r="T101" s="7"/>
      <c r="U101" s="14"/>
      <c r="V101" s="14"/>
      <c r="W101" s="14"/>
      <c r="X101" s="14"/>
      <c r="Y101" s="14"/>
      <c r="Z101" s="14"/>
      <c r="AJ101" s="3"/>
      <c r="AK101" s="12"/>
      <c r="AL101" s="12"/>
      <c r="AM101" s="12"/>
      <c r="AN101" s="12"/>
      <c r="AO101" s="12"/>
      <c r="AP101" s="12"/>
      <c r="AZ101" s="3"/>
      <c r="BA101" s="12"/>
      <c r="BB101" s="12"/>
      <c r="BC101" s="12"/>
      <c r="BD101" s="12"/>
      <c r="BE101" s="12"/>
      <c r="BF101" s="12"/>
      <c r="BP101" s="7"/>
      <c r="BQ101" s="14"/>
      <c r="BR101" s="14"/>
      <c r="BS101" s="14"/>
      <c r="BT101" s="14"/>
      <c r="BU101" s="14"/>
      <c r="BV101" s="14"/>
      <c r="CF101" s="3"/>
      <c r="CG101" s="12"/>
      <c r="CH101" s="12"/>
      <c r="CI101" s="12"/>
      <c r="CJ101" s="12"/>
      <c r="CK101" s="12"/>
      <c r="CL101" s="12"/>
    </row>
    <row r="102" spans="4:90" x14ac:dyDescent="0.3">
      <c r="D102" s="3"/>
      <c r="E102" s="12"/>
      <c r="F102" s="12"/>
      <c r="G102" s="12"/>
      <c r="H102" s="12"/>
      <c r="I102" s="12"/>
      <c r="J102" s="12"/>
      <c r="T102" s="7"/>
      <c r="U102" s="14"/>
      <c r="V102" s="14"/>
      <c r="W102" s="14"/>
      <c r="X102" s="14"/>
      <c r="Y102" s="14"/>
      <c r="Z102" s="14"/>
      <c r="AJ102" s="3"/>
      <c r="AK102" s="12"/>
      <c r="AL102" s="12"/>
      <c r="AM102" s="12"/>
      <c r="AN102" s="12"/>
      <c r="AO102" s="12"/>
      <c r="AP102" s="12"/>
      <c r="AZ102" s="3"/>
      <c r="BA102" s="12"/>
      <c r="BB102" s="12"/>
      <c r="BC102" s="12"/>
      <c r="BD102" s="12"/>
      <c r="BE102" s="12"/>
      <c r="BF102" s="12"/>
      <c r="BP102" s="7"/>
      <c r="BQ102" s="14"/>
      <c r="BR102" s="14"/>
      <c r="BS102" s="14"/>
      <c r="BT102" s="14"/>
      <c r="BU102" s="14"/>
      <c r="BV102" s="14"/>
      <c r="CF102" s="3"/>
      <c r="CG102" s="12"/>
      <c r="CH102" s="12"/>
      <c r="CI102" s="12"/>
      <c r="CJ102" s="12"/>
      <c r="CK102" s="12"/>
      <c r="CL102" s="12"/>
    </row>
    <row r="103" spans="4:90" x14ac:dyDescent="0.3">
      <c r="D103" s="3"/>
      <c r="E103" s="12"/>
      <c r="F103" s="12"/>
      <c r="G103" s="12"/>
      <c r="H103" s="12"/>
      <c r="I103" s="12"/>
      <c r="J103" s="12"/>
      <c r="T103" s="7"/>
      <c r="U103" s="14"/>
      <c r="V103" s="14"/>
      <c r="W103" s="14"/>
      <c r="X103" s="14"/>
      <c r="Y103" s="14"/>
      <c r="Z103" s="14"/>
      <c r="AJ103" s="3"/>
      <c r="AK103" s="12"/>
      <c r="AL103" s="12"/>
      <c r="AM103" s="12"/>
      <c r="AN103" s="12"/>
      <c r="AO103" s="12"/>
      <c r="AP103" s="12"/>
      <c r="AZ103" s="3"/>
      <c r="BA103" s="12"/>
      <c r="BB103" s="12"/>
      <c r="BC103" s="12"/>
      <c r="BD103" s="12"/>
      <c r="BE103" s="12"/>
      <c r="BF103" s="12"/>
      <c r="BP103" s="7"/>
      <c r="BQ103" s="14"/>
      <c r="BR103" s="14"/>
      <c r="BS103" s="14"/>
      <c r="BT103" s="14"/>
      <c r="BU103" s="14"/>
      <c r="BV103" s="14"/>
      <c r="CF103" s="3"/>
      <c r="CG103" s="12"/>
      <c r="CH103" s="12"/>
      <c r="CI103" s="12"/>
      <c r="CJ103" s="12"/>
      <c r="CK103" s="12"/>
      <c r="CL103" s="12"/>
    </row>
    <row r="104" spans="4:90" x14ac:dyDescent="0.3">
      <c r="D104" s="3"/>
      <c r="E104" s="12"/>
      <c r="F104" s="12"/>
      <c r="G104" s="12"/>
      <c r="H104" s="12"/>
      <c r="I104" s="12"/>
      <c r="J104" s="12"/>
      <c r="T104" s="7"/>
      <c r="U104" s="14"/>
      <c r="V104" s="14"/>
      <c r="W104" s="14"/>
      <c r="X104" s="14"/>
      <c r="Y104" s="14"/>
      <c r="Z104" s="14"/>
      <c r="AJ104" s="3"/>
      <c r="AK104" s="12"/>
      <c r="AL104" s="12"/>
      <c r="AM104" s="12"/>
      <c r="AN104" s="12"/>
      <c r="AO104" s="12"/>
      <c r="AP104" s="12"/>
      <c r="AZ104" s="3"/>
      <c r="BA104" s="12"/>
      <c r="BB104" s="12"/>
      <c r="BC104" s="12"/>
      <c r="BD104" s="12"/>
      <c r="BE104" s="12"/>
      <c r="BF104" s="12"/>
      <c r="BP104" s="7"/>
      <c r="BQ104" s="14"/>
      <c r="BR104" s="14"/>
      <c r="BS104" s="14"/>
      <c r="BT104" s="14"/>
      <c r="BU104" s="14"/>
      <c r="BV104" s="14"/>
      <c r="CF104" s="3"/>
      <c r="CG104" s="12"/>
      <c r="CH104" s="12"/>
      <c r="CI104" s="12"/>
      <c r="CJ104" s="12"/>
      <c r="CK104" s="12"/>
      <c r="CL104" s="12"/>
    </row>
    <row r="105" spans="4:90" x14ac:dyDescent="0.3">
      <c r="D105" s="3"/>
      <c r="E105" s="12"/>
      <c r="F105" s="12"/>
      <c r="G105" s="12"/>
      <c r="H105" s="12"/>
      <c r="I105" s="12"/>
      <c r="J105" s="12"/>
      <c r="T105" s="7"/>
      <c r="U105" s="14"/>
      <c r="V105" s="14"/>
      <c r="W105" s="14"/>
      <c r="X105" s="14"/>
      <c r="Y105" s="14"/>
      <c r="Z105" s="14"/>
      <c r="AJ105" s="3"/>
      <c r="AK105" s="12"/>
      <c r="AL105" s="12"/>
      <c r="AM105" s="12"/>
      <c r="AN105" s="12"/>
      <c r="AO105" s="12"/>
      <c r="AP105" s="12"/>
      <c r="AZ105" s="3"/>
      <c r="BA105" s="12"/>
      <c r="BB105" s="12"/>
      <c r="BC105" s="12"/>
      <c r="BD105" s="12"/>
      <c r="BE105" s="12"/>
      <c r="BF105" s="12"/>
      <c r="BP105" s="7"/>
      <c r="BQ105" s="14"/>
      <c r="BR105" s="14"/>
      <c r="BS105" s="14"/>
      <c r="BT105" s="14"/>
      <c r="BU105" s="14"/>
      <c r="BV105" s="14"/>
      <c r="CF105" s="3"/>
      <c r="CG105" s="12"/>
      <c r="CH105" s="12"/>
      <c r="CI105" s="12"/>
      <c r="CJ105" s="12"/>
      <c r="CK105" s="12"/>
      <c r="CL105" s="12"/>
    </row>
    <row r="106" spans="4:90" x14ac:dyDescent="0.3">
      <c r="D106" s="3"/>
      <c r="E106" s="12"/>
      <c r="F106" s="12"/>
      <c r="G106" s="12"/>
      <c r="H106" s="12"/>
      <c r="I106" s="12"/>
      <c r="J106" s="12"/>
      <c r="T106" s="7"/>
      <c r="U106" s="14"/>
      <c r="V106" s="14"/>
      <c r="W106" s="14"/>
      <c r="X106" s="14"/>
      <c r="Y106" s="14"/>
      <c r="Z106" s="14"/>
      <c r="AJ106" s="3"/>
      <c r="AK106" s="12"/>
      <c r="AL106" s="12"/>
      <c r="AM106" s="12"/>
      <c r="AN106" s="12"/>
      <c r="AO106" s="12"/>
      <c r="AP106" s="12"/>
      <c r="AZ106" s="3"/>
      <c r="BA106" s="12"/>
      <c r="BB106" s="12"/>
      <c r="BC106" s="12"/>
      <c r="BD106" s="12"/>
      <c r="BE106" s="12"/>
      <c r="BF106" s="12"/>
      <c r="BP106" s="7"/>
      <c r="BQ106" s="14"/>
      <c r="BR106" s="14"/>
      <c r="BS106" s="14"/>
      <c r="BT106" s="14"/>
      <c r="BU106" s="14"/>
      <c r="BV106" s="14"/>
      <c r="CF106" s="3"/>
      <c r="CG106" s="12"/>
      <c r="CH106" s="12"/>
      <c r="CI106" s="12"/>
      <c r="CJ106" s="12"/>
      <c r="CK106" s="12"/>
      <c r="CL106" s="12"/>
    </row>
    <row r="107" spans="4:90" x14ac:dyDescent="0.3">
      <c r="D107" s="3"/>
      <c r="E107" s="12"/>
      <c r="F107" s="12"/>
      <c r="G107" s="12"/>
      <c r="H107" s="12"/>
      <c r="I107" s="12"/>
      <c r="J107" s="12"/>
      <c r="T107" s="7"/>
      <c r="U107" s="14"/>
      <c r="V107" s="14"/>
      <c r="W107" s="14"/>
      <c r="X107" s="14"/>
      <c r="Y107" s="14"/>
      <c r="Z107" s="14"/>
      <c r="AJ107" s="3"/>
      <c r="AK107" s="12"/>
      <c r="AL107" s="12"/>
      <c r="AM107" s="12"/>
      <c r="AN107" s="12"/>
      <c r="AO107" s="12"/>
      <c r="AP107" s="12"/>
      <c r="AZ107" s="3"/>
      <c r="BA107" s="12"/>
      <c r="BB107" s="12"/>
      <c r="BC107" s="12"/>
      <c r="BD107" s="12"/>
      <c r="BE107" s="12"/>
      <c r="BF107" s="12"/>
      <c r="BP107" s="7"/>
      <c r="BQ107" s="14"/>
      <c r="BR107" s="14"/>
      <c r="BS107" s="14"/>
      <c r="BT107" s="14"/>
      <c r="BU107" s="14"/>
      <c r="BV107" s="14"/>
      <c r="CF107" s="3"/>
      <c r="CG107" s="12"/>
      <c r="CH107" s="12"/>
      <c r="CI107" s="12"/>
      <c r="CJ107" s="12"/>
      <c r="CK107" s="12"/>
      <c r="CL107" s="12"/>
    </row>
    <row r="108" spans="4:90" x14ac:dyDescent="0.3">
      <c r="D108" s="3"/>
      <c r="E108" s="12"/>
      <c r="F108" s="12"/>
      <c r="G108" s="12"/>
      <c r="H108" s="12"/>
      <c r="I108" s="12"/>
      <c r="J108" s="12"/>
      <c r="T108" s="7"/>
      <c r="U108" s="14"/>
      <c r="V108" s="14"/>
      <c r="W108" s="14"/>
      <c r="X108" s="14"/>
      <c r="Y108" s="14"/>
      <c r="Z108" s="14"/>
      <c r="AJ108" s="3"/>
      <c r="AK108" s="12"/>
      <c r="AL108" s="12"/>
      <c r="AM108" s="12"/>
      <c r="AN108" s="12"/>
      <c r="AO108" s="12"/>
      <c r="AP108" s="12"/>
      <c r="AZ108" s="3"/>
      <c r="BA108" s="12"/>
      <c r="BB108" s="12"/>
      <c r="BC108" s="12"/>
      <c r="BD108" s="12"/>
      <c r="BE108" s="12"/>
      <c r="BF108" s="12"/>
      <c r="BP108" s="7"/>
      <c r="BQ108" s="14"/>
      <c r="BR108" s="14"/>
      <c r="BS108" s="14"/>
      <c r="BT108" s="14"/>
      <c r="BU108" s="14"/>
      <c r="BV108" s="14"/>
      <c r="CF108" s="3"/>
      <c r="CG108" s="12"/>
      <c r="CH108" s="12"/>
      <c r="CI108" s="12"/>
      <c r="CJ108" s="12"/>
      <c r="CK108" s="12"/>
      <c r="CL108" s="12"/>
    </row>
    <row r="109" spans="4:90" x14ac:dyDescent="0.3">
      <c r="D109" s="3"/>
      <c r="E109" s="12"/>
      <c r="F109" s="12"/>
      <c r="G109" s="12"/>
      <c r="H109" s="12"/>
      <c r="I109" s="12"/>
      <c r="J109" s="12"/>
      <c r="T109" s="7"/>
      <c r="U109" s="14"/>
      <c r="V109" s="14"/>
      <c r="W109" s="14"/>
      <c r="X109" s="14"/>
      <c r="Y109" s="14"/>
      <c r="Z109" s="14"/>
      <c r="AJ109" s="3"/>
      <c r="AK109" s="12"/>
      <c r="AL109" s="12"/>
      <c r="AM109" s="12"/>
      <c r="AN109" s="12"/>
      <c r="AO109" s="12"/>
      <c r="AP109" s="12"/>
      <c r="AZ109" s="3"/>
      <c r="BA109" s="12"/>
      <c r="BB109" s="12"/>
      <c r="BC109" s="12"/>
      <c r="BD109" s="12"/>
      <c r="BE109" s="12"/>
      <c r="BF109" s="12"/>
      <c r="BP109" s="7"/>
      <c r="BQ109" s="14"/>
      <c r="BR109" s="14"/>
      <c r="BS109" s="14"/>
      <c r="BT109" s="14"/>
      <c r="BU109" s="14"/>
      <c r="BV109" s="14"/>
      <c r="CF109" s="3"/>
      <c r="CG109" s="12"/>
      <c r="CH109" s="12"/>
      <c r="CI109" s="12"/>
      <c r="CJ109" s="12"/>
      <c r="CK109" s="12"/>
      <c r="CL109" s="12"/>
    </row>
    <row r="110" spans="4:90" x14ac:dyDescent="0.3">
      <c r="D110" s="3"/>
      <c r="E110" s="12"/>
      <c r="F110" s="12"/>
      <c r="G110" s="12"/>
      <c r="H110" s="12"/>
      <c r="I110" s="12"/>
      <c r="J110" s="12"/>
      <c r="T110" s="7"/>
      <c r="U110" s="14"/>
      <c r="V110" s="14"/>
      <c r="W110" s="14"/>
      <c r="X110" s="14"/>
      <c r="Y110" s="14"/>
      <c r="Z110" s="14"/>
      <c r="AJ110" s="3"/>
      <c r="AK110" s="12"/>
      <c r="AL110" s="12"/>
      <c r="AM110" s="12"/>
      <c r="AN110" s="12"/>
      <c r="AO110" s="12"/>
      <c r="AP110" s="12"/>
      <c r="AZ110" s="3"/>
      <c r="BA110" s="12"/>
      <c r="BB110" s="12"/>
      <c r="BC110" s="12"/>
      <c r="BD110" s="12"/>
      <c r="BE110" s="12"/>
      <c r="BF110" s="12"/>
      <c r="BP110" s="7"/>
      <c r="BQ110" s="14"/>
      <c r="BR110" s="14"/>
      <c r="BS110" s="14"/>
      <c r="BT110" s="14"/>
      <c r="BU110" s="14"/>
      <c r="BV110" s="14"/>
      <c r="CF110" s="3"/>
      <c r="CG110" s="12"/>
      <c r="CH110" s="12"/>
      <c r="CI110" s="12"/>
      <c r="CJ110" s="12"/>
      <c r="CK110" s="12"/>
      <c r="CL110" s="12"/>
    </row>
    <row r="111" spans="4:90" x14ac:dyDescent="0.3">
      <c r="D111" s="3"/>
      <c r="E111" s="12"/>
      <c r="F111" s="12"/>
      <c r="G111" s="12"/>
      <c r="H111" s="12"/>
      <c r="I111" s="12"/>
      <c r="J111" s="12"/>
      <c r="T111" s="7"/>
      <c r="U111" s="14"/>
      <c r="V111" s="14"/>
      <c r="W111" s="14"/>
      <c r="X111" s="14"/>
      <c r="Y111" s="14"/>
      <c r="Z111" s="14"/>
      <c r="AJ111" s="3"/>
      <c r="AK111" s="12"/>
      <c r="AL111" s="12"/>
      <c r="AM111" s="12"/>
      <c r="AN111" s="12"/>
      <c r="AO111" s="12"/>
      <c r="AP111" s="12"/>
      <c r="AZ111" s="3"/>
      <c r="BA111" s="12"/>
      <c r="BB111" s="12"/>
      <c r="BC111" s="12"/>
      <c r="BD111" s="12"/>
      <c r="BE111" s="12"/>
      <c r="BF111" s="12"/>
      <c r="BP111" s="7"/>
      <c r="BQ111" s="14"/>
      <c r="BR111" s="14"/>
      <c r="BS111" s="14"/>
      <c r="BT111" s="14"/>
      <c r="BU111" s="14"/>
      <c r="BV111" s="14"/>
      <c r="CF111" s="3"/>
      <c r="CG111" s="12"/>
      <c r="CH111" s="12"/>
      <c r="CI111" s="12"/>
      <c r="CJ111" s="12"/>
      <c r="CK111" s="12"/>
      <c r="CL111" s="12"/>
    </row>
    <row r="112" spans="4:90" x14ac:dyDescent="0.3">
      <c r="D112" s="3"/>
      <c r="E112" s="12"/>
      <c r="F112" s="12"/>
      <c r="G112" s="12"/>
      <c r="H112" s="12"/>
      <c r="I112" s="12"/>
      <c r="J112" s="12"/>
      <c r="T112" s="7"/>
      <c r="U112" s="14"/>
      <c r="V112" s="14"/>
      <c r="W112" s="14"/>
      <c r="X112" s="14"/>
      <c r="Y112" s="14"/>
      <c r="Z112" s="14"/>
      <c r="AJ112" s="3"/>
      <c r="AK112" s="12"/>
      <c r="AL112" s="12"/>
      <c r="AM112" s="12"/>
      <c r="AN112" s="12"/>
      <c r="AO112" s="12"/>
      <c r="AP112" s="12"/>
      <c r="AZ112" s="3"/>
      <c r="BA112" s="12"/>
      <c r="BB112" s="12"/>
      <c r="BC112" s="12"/>
      <c r="BD112" s="12"/>
      <c r="BE112" s="12"/>
      <c r="BF112" s="12"/>
      <c r="BP112" s="7"/>
      <c r="BQ112" s="14"/>
      <c r="BR112" s="14"/>
      <c r="BS112" s="14"/>
      <c r="BT112" s="14"/>
      <c r="BU112" s="14"/>
      <c r="BV112" s="14"/>
      <c r="CF112" s="3"/>
      <c r="CG112" s="12"/>
      <c r="CH112" s="12"/>
      <c r="CI112" s="12"/>
      <c r="CJ112" s="12"/>
      <c r="CK112" s="12"/>
      <c r="CL112" s="12"/>
    </row>
    <row r="113" spans="4:90" x14ac:dyDescent="0.3">
      <c r="D113" s="3"/>
      <c r="E113" s="12"/>
      <c r="F113" s="12"/>
      <c r="G113" s="12"/>
      <c r="H113" s="12"/>
      <c r="I113" s="12"/>
      <c r="J113" s="12"/>
      <c r="T113" s="7"/>
      <c r="U113" s="14"/>
      <c r="V113" s="14"/>
      <c r="W113" s="14"/>
      <c r="X113" s="14"/>
      <c r="Y113" s="14"/>
      <c r="Z113" s="14"/>
      <c r="AJ113" s="3"/>
      <c r="AK113" s="12"/>
      <c r="AL113" s="12"/>
      <c r="AM113" s="12"/>
      <c r="AN113" s="12"/>
      <c r="AO113" s="12"/>
      <c r="AP113" s="12"/>
      <c r="AZ113" s="3"/>
      <c r="BA113" s="12"/>
      <c r="BB113" s="12"/>
      <c r="BC113" s="12"/>
      <c r="BD113" s="12"/>
      <c r="BE113" s="12"/>
      <c r="BF113" s="12"/>
      <c r="BP113" s="7"/>
      <c r="BQ113" s="14"/>
      <c r="BR113" s="14"/>
      <c r="BS113" s="14"/>
      <c r="BT113" s="14"/>
      <c r="BU113" s="14"/>
      <c r="BV113" s="14"/>
      <c r="CF113" s="3"/>
      <c r="CG113" s="12"/>
      <c r="CH113" s="12"/>
      <c r="CI113" s="12"/>
      <c r="CJ113" s="12"/>
      <c r="CK113" s="12"/>
      <c r="CL113" s="12"/>
    </row>
    <row r="114" spans="4:90" x14ac:dyDescent="0.3">
      <c r="D114" s="3"/>
      <c r="E114" s="12"/>
      <c r="F114" s="12"/>
      <c r="G114" s="12"/>
      <c r="H114" s="12"/>
      <c r="I114" s="12"/>
      <c r="J114" s="12"/>
      <c r="T114" s="7"/>
      <c r="U114" s="14"/>
      <c r="V114" s="14"/>
      <c r="W114" s="14"/>
      <c r="X114" s="14"/>
      <c r="Y114" s="14"/>
      <c r="Z114" s="14"/>
      <c r="AJ114" s="3"/>
      <c r="AK114" s="12"/>
      <c r="AL114" s="12"/>
      <c r="AM114" s="12"/>
      <c r="AN114" s="12"/>
      <c r="AO114" s="12"/>
      <c r="AP114" s="12"/>
      <c r="AZ114" s="3"/>
      <c r="BA114" s="12"/>
      <c r="BB114" s="12"/>
      <c r="BC114" s="12"/>
      <c r="BD114" s="12"/>
      <c r="BE114" s="12"/>
      <c r="BF114" s="12"/>
      <c r="BP114" s="7"/>
      <c r="BQ114" s="14"/>
      <c r="BR114" s="14"/>
      <c r="BS114" s="14"/>
      <c r="BT114" s="14"/>
      <c r="BU114" s="14"/>
      <c r="BV114" s="14"/>
      <c r="CF114" s="3"/>
      <c r="CG114" s="12"/>
      <c r="CH114" s="12"/>
      <c r="CI114" s="12"/>
      <c r="CJ114" s="12"/>
      <c r="CK114" s="12"/>
      <c r="CL114" s="12"/>
    </row>
    <row r="115" spans="4:90" x14ac:dyDescent="0.3">
      <c r="D115" s="3"/>
      <c r="E115" s="12"/>
      <c r="F115" s="12"/>
      <c r="G115" s="12"/>
      <c r="H115" s="12"/>
      <c r="I115" s="12"/>
      <c r="J115" s="12"/>
      <c r="T115" s="7"/>
      <c r="U115" s="14"/>
      <c r="V115" s="14"/>
      <c r="W115" s="14"/>
      <c r="X115" s="14"/>
      <c r="Y115" s="14"/>
      <c r="Z115" s="14"/>
      <c r="AJ115" s="3"/>
      <c r="AK115" s="12"/>
      <c r="AL115" s="12"/>
      <c r="AM115" s="12"/>
      <c r="AN115" s="12"/>
      <c r="AO115" s="12"/>
      <c r="AP115" s="12"/>
      <c r="AZ115" s="3"/>
      <c r="BA115" s="12"/>
      <c r="BB115" s="12"/>
      <c r="BC115" s="12"/>
      <c r="BD115" s="12"/>
      <c r="BE115" s="12"/>
      <c r="BF115" s="12"/>
      <c r="BP115" s="7"/>
      <c r="BQ115" s="14"/>
      <c r="BR115" s="14"/>
      <c r="BS115" s="14"/>
      <c r="BT115" s="14"/>
      <c r="BU115" s="14"/>
      <c r="BV115" s="14"/>
      <c r="CF115" s="3"/>
      <c r="CG115" s="12"/>
      <c r="CH115" s="12"/>
      <c r="CI115" s="12"/>
      <c r="CJ115" s="12"/>
      <c r="CK115" s="12"/>
      <c r="CL115" s="12"/>
    </row>
    <row r="116" spans="4:90" x14ac:dyDescent="0.3">
      <c r="D116" s="3"/>
      <c r="E116" s="12"/>
      <c r="F116" s="12"/>
      <c r="G116" s="12"/>
      <c r="H116" s="12"/>
      <c r="I116" s="12"/>
      <c r="J116" s="12"/>
      <c r="T116" s="7"/>
      <c r="U116" s="14"/>
      <c r="V116" s="14"/>
      <c r="W116" s="14"/>
      <c r="X116" s="14"/>
      <c r="Y116" s="14"/>
      <c r="Z116" s="14"/>
      <c r="AJ116" s="3"/>
      <c r="AK116" s="12"/>
      <c r="AL116" s="12"/>
      <c r="AM116" s="12"/>
      <c r="AN116" s="12"/>
      <c r="AO116" s="12"/>
      <c r="AP116" s="12"/>
      <c r="AZ116" s="3"/>
      <c r="BA116" s="12"/>
      <c r="BB116" s="12"/>
      <c r="BC116" s="12"/>
      <c r="BD116" s="12"/>
      <c r="BE116" s="12"/>
      <c r="BF116" s="12"/>
      <c r="BP116" s="7"/>
      <c r="BQ116" s="14"/>
      <c r="BR116" s="14"/>
      <c r="BS116" s="14"/>
      <c r="BT116" s="14"/>
      <c r="BU116" s="14"/>
      <c r="BV116" s="14"/>
      <c r="CF116" s="3"/>
      <c r="CG116" s="12"/>
      <c r="CH116" s="12"/>
      <c r="CI116" s="12"/>
      <c r="CJ116" s="12"/>
      <c r="CK116" s="12"/>
      <c r="CL116" s="12"/>
    </row>
    <row r="117" spans="4:90" x14ac:dyDescent="0.3">
      <c r="D117" s="3"/>
      <c r="E117" s="12"/>
      <c r="F117" s="12"/>
      <c r="G117" s="12"/>
      <c r="H117" s="12"/>
      <c r="I117" s="12"/>
      <c r="J117" s="12"/>
      <c r="T117" s="7"/>
      <c r="U117" s="14"/>
      <c r="V117" s="14"/>
      <c r="W117" s="14"/>
      <c r="X117" s="14"/>
      <c r="Y117" s="14"/>
      <c r="Z117" s="14"/>
      <c r="AJ117" s="3"/>
      <c r="AK117" s="12"/>
      <c r="AL117" s="12"/>
      <c r="AM117" s="12"/>
      <c r="AN117" s="12"/>
      <c r="AO117" s="12"/>
      <c r="AP117" s="12"/>
      <c r="AZ117" s="3"/>
      <c r="BA117" s="12"/>
      <c r="BB117" s="12"/>
      <c r="BC117" s="12"/>
      <c r="BD117" s="12"/>
      <c r="BE117" s="12"/>
      <c r="BF117" s="12"/>
      <c r="BP117" s="7"/>
      <c r="BQ117" s="14"/>
      <c r="BR117" s="14"/>
      <c r="BS117" s="14"/>
      <c r="BT117" s="14"/>
      <c r="BU117" s="14"/>
      <c r="BV117" s="14"/>
      <c r="CF117" s="3"/>
      <c r="CG117" s="12"/>
      <c r="CH117" s="12"/>
      <c r="CI117" s="12"/>
      <c r="CJ117" s="12"/>
      <c r="CK117" s="12"/>
      <c r="CL117" s="12"/>
    </row>
    <row r="118" spans="4:90" x14ac:dyDescent="0.3">
      <c r="D118" s="3"/>
      <c r="E118" s="12"/>
      <c r="F118" s="12"/>
      <c r="G118" s="12"/>
      <c r="H118" s="12"/>
      <c r="I118" s="12"/>
      <c r="J118" s="12"/>
      <c r="T118" s="7"/>
      <c r="U118" s="14"/>
      <c r="V118" s="14"/>
      <c r="W118" s="14"/>
      <c r="X118" s="14"/>
      <c r="Y118" s="14"/>
      <c r="Z118" s="14"/>
      <c r="AJ118" s="3"/>
      <c r="AK118" s="12"/>
      <c r="AL118" s="12"/>
      <c r="AM118" s="12"/>
      <c r="AN118" s="12"/>
      <c r="AO118" s="12"/>
      <c r="AP118" s="12"/>
      <c r="AZ118" s="3"/>
      <c r="BA118" s="12"/>
      <c r="BB118" s="12"/>
      <c r="BC118" s="12"/>
      <c r="BD118" s="12"/>
      <c r="BE118" s="12"/>
      <c r="BF118" s="12"/>
      <c r="BP118" s="7"/>
      <c r="BQ118" s="14"/>
      <c r="BR118" s="14"/>
      <c r="BS118" s="14"/>
      <c r="BT118" s="14"/>
      <c r="BU118" s="14"/>
      <c r="BV118" s="14"/>
      <c r="CF118" s="3"/>
      <c r="CG118" s="12"/>
      <c r="CH118" s="12"/>
      <c r="CI118" s="12"/>
      <c r="CJ118" s="12"/>
      <c r="CK118" s="12"/>
      <c r="CL118" s="12"/>
    </row>
    <row r="119" spans="4:90" x14ac:dyDescent="0.3">
      <c r="D119" s="3"/>
      <c r="E119" s="12"/>
      <c r="F119" s="12"/>
      <c r="G119" s="12"/>
      <c r="H119" s="12"/>
      <c r="I119" s="12"/>
      <c r="J119" s="12"/>
      <c r="T119" s="7"/>
      <c r="U119" s="14"/>
      <c r="V119" s="14"/>
      <c r="W119" s="14"/>
      <c r="X119" s="14"/>
      <c r="Y119" s="14"/>
      <c r="Z119" s="14"/>
      <c r="AJ119" s="3"/>
      <c r="AK119" s="12"/>
      <c r="AL119" s="12"/>
      <c r="AM119" s="12"/>
      <c r="AN119" s="12"/>
      <c r="AO119" s="12"/>
      <c r="AP119" s="12"/>
      <c r="AZ119" s="3"/>
      <c r="BA119" s="12"/>
      <c r="BB119" s="12"/>
      <c r="BC119" s="12"/>
      <c r="BD119" s="12"/>
      <c r="BE119" s="12"/>
      <c r="BF119" s="12"/>
      <c r="BP119" s="7"/>
      <c r="BQ119" s="14"/>
      <c r="BR119" s="14"/>
      <c r="BS119" s="14"/>
      <c r="BT119" s="14"/>
      <c r="BU119" s="14"/>
      <c r="BV119" s="14"/>
      <c r="CF119" s="3"/>
      <c r="CG119" s="12"/>
      <c r="CH119" s="12"/>
      <c r="CI119" s="12"/>
      <c r="CJ119" s="12"/>
      <c r="CK119" s="12"/>
      <c r="CL119" s="12"/>
    </row>
    <row r="120" spans="4:90" x14ac:dyDescent="0.3">
      <c r="D120" s="3"/>
      <c r="E120" s="12"/>
      <c r="F120" s="12"/>
      <c r="G120" s="12"/>
      <c r="H120" s="12"/>
      <c r="I120" s="12"/>
      <c r="J120" s="12"/>
      <c r="T120" s="7"/>
      <c r="U120" s="14"/>
      <c r="V120" s="14"/>
      <c r="W120" s="14"/>
      <c r="X120" s="14"/>
      <c r="Y120" s="14"/>
      <c r="Z120" s="14"/>
      <c r="AJ120" s="3"/>
      <c r="AK120" s="12"/>
      <c r="AL120" s="12"/>
      <c r="AM120" s="12"/>
      <c r="AN120" s="12"/>
      <c r="AO120" s="12"/>
      <c r="AP120" s="12"/>
      <c r="AZ120" s="3"/>
      <c r="BA120" s="12"/>
      <c r="BB120" s="12"/>
      <c r="BC120" s="12"/>
      <c r="BD120" s="12"/>
      <c r="BE120" s="12"/>
      <c r="BF120" s="12"/>
      <c r="BP120" s="7"/>
      <c r="BQ120" s="14"/>
      <c r="BR120" s="14"/>
      <c r="BS120" s="14"/>
      <c r="BT120" s="14"/>
      <c r="BU120" s="14"/>
      <c r="BV120" s="14"/>
      <c r="CF120" s="3"/>
      <c r="CG120" s="12"/>
      <c r="CH120" s="12"/>
      <c r="CI120" s="12"/>
      <c r="CJ120" s="12"/>
      <c r="CK120" s="12"/>
      <c r="CL120" s="12"/>
    </row>
    <row r="121" spans="4:90" x14ac:dyDescent="0.3">
      <c r="D121" s="3"/>
      <c r="E121" s="12"/>
      <c r="F121" s="12"/>
      <c r="G121" s="12"/>
      <c r="H121" s="12"/>
      <c r="I121" s="12"/>
      <c r="J121" s="12"/>
      <c r="T121" s="7"/>
      <c r="U121" s="14"/>
      <c r="V121" s="14"/>
      <c r="W121" s="14"/>
      <c r="X121" s="14"/>
      <c r="Y121" s="14"/>
      <c r="Z121" s="14"/>
      <c r="AJ121" s="3"/>
      <c r="AK121" s="12"/>
      <c r="AL121" s="12"/>
      <c r="AM121" s="12"/>
      <c r="AN121" s="12"/>
      <c r="AO121" s="12"/>
      <c r="AP121" s="12"/>
      <c r="AZ121" s="3"/>
      <c r="BA121" s="12"/>
      <c r="BB121" s="12"/>
      <c r="BC121" s="12"/>
      <c r="BD121" s="12"/>
      <c r="BE121" s="12"/>
      <c r="BF121" s="12"/>
      <c r="BP121" s="7"/>
      <c r="BQ121" s="14"/>
      <c r="BR121" s="14"/>
      <c r="BS121" s="14"/>
      <c r="BT121" s="14"/>
      <c r="BU121" s="14"/>
      <c r="BV121" s="14"/>
      <c r="CF121" s="3"/>
      <c r="CG121" s="12"/>
      <c r="CH121" s="12"/>
      <c r="CI121" s="12"/>
      <c r="CJ121" s="12"/>
      <c r="CK121" s="12"/>
      <c r="CL121" s="12"/>
    </row>
    <row r="122" spans="4:90" x14ac:dyDescent="0.3">
      <c r="D122" s="3"/>
      <c r="E122" s="12"/>
      <c r="F122" s="12"/>
      <c r="G122" s="12"/>
      <c r="H122" s="12"/>
      <c r="I122" s="12"/>
      <c r="J122" s="12"/>
      <c r="T122" s="7"/>
      <c r="U122" s="14"/>
      <c r="V122" s="14"/>
      <c r="W122" s="14"/>
      <c r="X122" s="14"/>
      <c r="Y122" s="14"/>
      <c r="Z122" s="14"/>
      <c r="AJ122" s="3"/>
      <c r="AK122" s="12"/>
      <c r="AL122" s="12"/>
      <c r="AM122" s="12"/>
      <c r="AN122" s="12"/>
      <c r="AO122" s="12"/>
      <c r="AP122" s="12"/>
      <c r="AZ122" s="3"/>
      <c r="BA122" s="12"/>
      <c r="BB122" s="12"/>
      <c r="BC122" s="12"/>
      <c r="BD122" s="12"/>
      <c r="BE122" s="12"/>
      <c r="BF122" s="12"/>
      <c r="BP122" s="7"/>
      <c r="BQ122" s="14"/>
      <c r="BR122" s="14"/>
      <c r="BS122" s="14"/>
      <c r="BT122" s="14"/>
      <c r="BU122" s="14"/>
      <c r="BV122" s="14"/>
      <c r="CF122" s="3"/>
      <c r="CG122" s="12"/>
      <c r="CH122" s="12"/>
      <c r="CI122" s="12"/>
      <c r="CJ122" s="12"/>
      <c r="CK122" s="12"/>
      <c r="CL122" s="12"/>
    </row>
    <row r="123" spans="4:90" x14ac:dyDescent="0.3">
      <c r="D123" s="3"/>
      <c r="E123" s="12"/>
      <c r="F123" s="12"/>
      <c r="G123" s="12"/>
      <c r="H123" s="12"/>
      <c r="I123" s="12"/>
      <c r="J123" s="12"/>
      <c r="T123" s="7"/>
      <c r="U123" s="14"/>
      <c r="V123" s="14"/>
      <c r="W123" s="14"/>
      <c r="X123" s="14"/>
      <c r="Y123" s="14"/>
      <c r="Z123" s="14"/>
      <c r="AJ123" s="3"/>
      <c r="AK123" s="12"/>
      <c r="AL123" s="12"/>
      <c r="AM123" s="12"/>
      <c r="AN123" s="12"/>
      <c r="AO123" s="12"/>
      <c r="AP123" s="12"/>
      <c r="AZ123" s="3"/>
      <c r="BA123" s="12"/>
      <c r="BB123" s="12"/>
      <c r="BC123" s="12"/>
      <c r="BD123" s="12"/>
      <c r="BE123" s="12"/>
      <c r="BF123" s="12"/>
      <c r="BP123" s="7"/>
      <c r="BQ123" s="14"/>
      <c r="BR123" s="14"/>
      <c r="BS123" s="14"/>
      <c r="BT123" s="14"/>
      <c r="BU123" s="14"/>
      <c r="BV123" s="14"/>
      <c r="CF123" s="3"/>
      <c r="CG123" s="12"/>
      <c r="CH123" s="12"/>
      <c r="CI123" s="12"/>
      <c r="CJ123" s="12"/>
      <c r="CK123" s="12"/>
      <c r="CL123" s="12"/>
    </row>
    <row r="124" spans="4:90" x14ac:dyDescent="0.3">
      <c r="D124" s="3"/>
      <c r="E124" s="12"/>
      <c r="F124" s="12"/>
      <c r="G124" s="12"/>
      <c r="H124" s="12"/>
      <c r="I124" s="12"/>
      <c r="J124" s="12"/>
      <c r="T124" s="7"/>
      <c r="U124" s="14"/>
      <c r="V124" s="14"/>
      <c r="W124" s="14"/>
      <c r="X124" s="14"/>
      <c r="Y124" s="14"/>
      <c r="Z124" s="14"/>
      <c r="AJ124" s="3"/>
      <c r="AK124" s="12"/>
      <c r="AL124" s="12"/>
      <c r="AM124" s="12"/>
      <c r="AN124" s="12"/>
      <c r="AO124" s="12"/>
      <c r="AP124" s="12"/>
      <c r="AZ124" s="3"/>
      <c r="BA124" s="12"/>
      <c r="BB124" s="12"/>
      <c r="BC124" s="12"/>
      <c r="BD124" s="12"/>
      <c r="BE124" s="12"/>
      <c r="BF124" s="12"/>
      <c r="BP124" s="7"/>
      <c r="BQ124" s="14"/>
      <c r="BR124" s="14"/>
      <c r="BS124" s="14"/>
      <c r="BT124" s="14"/>
      <c r="BU124" s="14"/>
      <c r="BV124" s="14"/>
      <c r="CF124" s="3"/>
      <c r="CG124" s="12"/>
      <c r="CH124" s="12"/>
      <c r="CI124" s="12"/>
      <c r="CJ124" s="12"/>
      <c r="CK124" s="12"/>
      <c r="CL124" s="12"/>
    </row>
    <row r="125" spans="4:90" x14ac:dyDescent="0.3">
      <c r="D125" s="3"/>
      <c r="E125" s="12"/>
      <c r="F125" s="12"/>
      <c r="G125" s="12"/>
      <c r="H125" s="12"/>
      <c r="I125" s="12"/>
      <c r="J125" s="12"/>
      <c r="T125" s="7"/>
      <c r="U125" s="14"/>
      <c r="V125" s="14"/>
      <c r="W125" s="14"/>
      <c r="X125" s="14"/>
      <c r="Y125" s="14"/>
      <c r="Z125" s="14"/>
      <c r="AJ125" s="3"/>
      <c r="AK125" s="12"/>
      <c r="AL125" s="12"/>
      <c r="AM125" s="12"/>
      <c r="AN125" s="12"/>
      <c r="AO125" s="12"/>
      <c r="AP125" s="12"/>
      <c r="AZ125" s="3"/>
      <c r="BA125" s="12"/>
      <c r="BB125" s="12"/>
      <c r="BC125" s="12"/>
      <c r="BD125" s="12"/>
      <c r="BE125" s="12"/>
      <c r="BF125" s="12"/>
      <c r="BP125" s="7"/>
      <c r="BQ125" s="14"/>
      <c r="BR125" s="14"/>
      <c r="BS125" s="14"/>
      <c r="BT125" s="14"/>
      <c r="BU125" s="14"/>
      <c r="BV125" s="14"/>
      <c r="CF125" s="3"/>
      <c r="CG125" s="12"/>
      <c r="CH125" s="12"/>
      <c r="CI125" s="12"/>
      <c r="CJ125" s="12"/>
      <c r="CK125" s="12"/>
      <c r="CL125" s="12"/>
    </row>
    <row r="126" spans="4:90" x14ac:dyDescent="0.3">
      <c r="D126" s="3"/>
      <c r="E126" s="12"/>
      <c r="F126" s="12"/>
      <c r="G126" s="12"/>
      <c r="H126" s="12"/>
      <c r="I126" s="12"/>
      <c r="J126" s="12"/>
      <c r="T126" s="7"/>
      <c r="U126" s="14"/>
      <c r="V126" s="14"/>
      <c r="W126" s="14"/>
      <c r="X126" s="14"/>
      <c r="Y126" s="14"/>
      <c r="Z126" s="14"/>
      <c r="AJ126" s="3"/>
      <c r="AK126" s="12"/>
      <c r="AL126" s="12"/>
      <c r="AM126" s="12"/>
      <c r="AN126" s="12"/>
      <c r="AO126" s="12"/>
      <c r="AP126" s="12"/>
      <c r="AZ126" s="3"/>
      <c r="BA126" s="12"/>
      <c r="BB126" s="12"/>
      <c r="BC126" s="12"/>
      <c r="BD126" s="12"/>
      <c r="BE126" s="12"/>
      <c r="BF126" s="12"/>
      <c r="BP126" s="7"/>
      <c r="BQ126" s="14"/>
      <c r="BR126" s="14"/>
      <c r="BS126" s="14"/>
      <c r="BT126" s="14"/>
      <c r="BU126" s="14"/>
      <c r="BV126" s="14"/>
      <c r="CF126" s="3"/>
      <c r="CG126" s="12"/>
      <c r="CH126" s="12"/>
      <c r="CI126" s="12"/>
      <c r="CJ126" s="12"/>
      <c r="CK126" s="12"/>
      <c r="CL126" s="12"/>
    </row>
    <row r="127" spans="4:90" x14ac:dyDescent="0.3">
      <c r="D127" s="3"/>
      <c r="E127" s="12"/>
      <c r="F127" s="12"/>
      <c r="G127" s="12"/>
      <c r="H127" s="12"/>
      <c r="I127" s="12"/>
      <c r="J127" s="12"/>
      <c r="T127" s="7"/>
      <c r="U127" s="14"/>
      <c r="V127" s="14"/>
      <c r="W127" s="14"/>
      <c r="X127" s="14"/>
      <c r="Y127" s="14"/>
      <c r="Z127" s="14"/>
      <c r="AJ127" s="3"/>
      <c r="AK127" s="12"/>
      <c r="AL127" s="12"/>
      <c r="AM127" s="12"/>
      <c r="AN127" s="12"/>
      <c r="AO127" s="12"/>
      <c r="AP127" s="12"/>
      <c r="AZ127" s="3"/>
      <c r="BA127" s="12"/>
      <c r="BB127" s="12"/>
      <c r="BC127" s="12"/>
      <c r="BD127" s="12"/>
      <c r="BE127" s="12"/>
      <c r="BF127" s="12"/>
      <c r="BP127" s="7"/>
      <c r="BQ127" s="14"/>
      <c r="BR127" s="14"/>
      <c r="BS127" s="14"/>
      <c r="BT127" s="14"/>
      <c r="BU127" s="14"/>
      <c r="BV127" s="14"/>
      <c r="CF127" s="3"/>
      <c r="CG127" s="12"/>
      <c r="CH127" s="12"/>
      <c r="CI127" s="12"/>
      <c r="CJ127" s="12"/>
      <c r="CK127" s="12"/>
      <c r="CL127" s="12"/>
    </row>
    <row r="128" spans="4:90" x14ac:dyDescent="0.3">
      <c r="D128" s="3"/>
      <c r="E128" s="12"/>
      <c r="F128" s="12"/>
      <c r="G128" s="12"/>
      <c r="H128" s="12"/>
      <c r="I128" s="12"/>
      <c r="J128" s="12"/>
      <c r="T128" s="7"/>
      <c r="U128" s="14"/>
      <c r="V128" s="14"/>
      <c r="W128" s="14"/>
      <c r="X128" s="14"/>
      <c r="Y128" s="14"/>
      <c r="Z128" s="14"/>
      <c r="AJ128" s="3"/>
      <c r="AK128" s="12"/>
      <c r="AL128" s="12"/>
      <c r="AM128" s="12"/>
      <c r="AN128" s="12"/>
      <c r="AO128" s="12"/>
      <c r="AP128" s="12"/>
      <c r="AZ128" s="3"/>
      <c r="BA128" s="12"/>
      <c r="BB128" s="12"/>
      <c r="BC128" s="12"/>
      <c r="BD128" s="12"/>
      <c r="BE128" s="12"/>
      <c r="BF128" s="12"/>
      <c r="BP128" s="7"/>
      <c r="BQ128" s="14"/>
      <c r="BR128" s="14"/>
      <c r="BS128" s="14"/>
      <c r="BT128" s="14"/>
      <c r="BU128" s="14"/>
      <c r="BV128" s="14"/>
      <c r="CF128" s="3"/>
      <c r="CG128" s="12"/>
      <c r="CH128" s="12"/>
      <c r="CI128" s="12"/>
      <c r="CJ128" s="12"/>
      <c r="CK128" s="12"/>
      <c r="CL128" s="12"/>
    </row>
    <row r="129" spans="4:90" x14ac:dyDescent="0.3">
      <c r="D129" s="3"/>
      <c r="E129" s="12"/>
      <c r="F129" s="12"/>
      <c r="G129" s="12"/>
      <c r="H129" s="12"/>
      <c r="I129" s="12"/>
      <c r="J129" s="12"/>
      <c r="T129" s="7"/>
      <c r="U129" s="14"/>
      <c r="V129" s="14"/>
      <c r="W129" s="14"/>
      <c r="X129" s="14"/>
      <c r="Y129" s="14"/>
      <c r="Z129" s="14"/>
      <c r="AJ129" s="3"/>
      <c r="AK129" s="12"/>
      <c r="AL129" s="12"/>
      <c r="AM129" s="12"/>
      <c r="AN129" s="12"/>
      <c r="AO129" s="12"/>
      <c r="AP129" s="12"/>
      <c r="AZ129" s="3"/>
      <c r="BA129" s="12"/>
      <c r="BB129" s="12"/>
      <c r="BC129" s="12"/>
      <c r="BD129" s="12"/>
      <c r="BE129" s="12"/>
      <c r="BF129" s="12"/>
      <c r="BP129" s="7"/>
      <c r="BQ129" s="14"/>
      <c r="BR129" s="14"/>
      <c r="BS129" s="14"/>
      <c r="BT129" s="14"/>
      <c r="BU129" s="14"/>
      <c r="BV129" s="14"/>
      <c r="CF129" s="3"/>
      <c r="CG129" s="12"/>
      <c r="CH129" s="12"/>
      <c r="CI129" s="12"/>
      <c r="CJ129" s="12"/>
      <c r="CK129" s="12"/>
      <c r="CL129" s="12"/>
    </row>
    <row r="130" spans="4:90" x14ac:dyDescent="0.3">
      <c r="D130" s="3"/>
      <c r="E130" s="12"/>
      <c r="F130" s="12"/>
      <c r="G130" s="12"/>
      <c r="H130" s="12"/>
      <c r="I130" s="12"/>
      <c r="J130" s="12"/>
      <c r="T130" s="7"/>
      <c r="U130" s="14"/>
      <c r="V130" s="14"/>
      <c r="W130" s="14"/>
      <c r="X130" s="14"/>
      <c r="Y130" s="14"/>
      <c r="Z130" s="14"/>
      <c r="AJ130" s="3"/>
      <c r="AK130" s="12"/>
      <c r="AL130" s="12"/>
      <c r="AM130" s="12"/>
      <c r="AN130" s="12"/>
      <c r="AO130" s="12"/>
      <c r="AP130" s="12"/>
      <c r="AZ130" s="3"/>
      <c r="BA130" s="12"/>
      <c r="BB130" s="12"/>
      <c r="BC130" s="12"/>
      <c r="BD130" s="12"/>
      <c r="BE130" s="12"/>
      <c r="BF130" s="12"/>
      <c r="BP130" s="7"/>
      <c r="BQ130" s="14"/>
      <c r="BR130" s="14"/>
      <c r="BS130" s="14"/>
      <c r="BT130" s="14"/>
      <c r="BU130" s="14"/>
      <c r="BV130" s="14"/>
      <c r="CF130" s="3"/>
      <c r="CG130" s="12"/>
      <c r="CH130" s="12"/>
      <c r="CI130" s="12"/>
      <c r="CJ130" s="12"/>
      <c r="CK130" s="12"/>
      <c r="CL130" s="12"/>
    </row>
    <row r="131" spans="4:90" x14ac:dyDescent="0.3">
      <c r="D131" s="3"/>
      <c r="E131" s="12"/>
      <c r="F131" s="12"/>
      <c r="G131" s="12"/>
      <c r="H131" s="12"/>
      <c r="I131" s="12"/>
      <c r="J131" s="12"/>
      <c r="T131" s="7"/>
      <c r="U131" s="14"/>
      <c r="V131" s="14"/>
      <c r="W131" s="14"/>
      <c r="X131" s="14"/>
      <c r="Y131" s="14"/>
      <c r="Z131" s="14"/>
      <c r="AJ131" s="3"/>
      <c r="AK131" s="12"/>
      <c r="AL131" s="12"/>
      <c r="AM131" s="12"/>
      <c r="AN131" s="12"/>
      <c r="AO131" s="12"/>
      <c r="AP131" s="12"/>
      <c r="AZ131" s="3"/>
      <c r="BA131" s="12"/>
      <c r="BB131" s="12"/>
      <c r="BC131" s="12"/>
      <c r="BD131" s="12"/>
      <c r="BE131" s="12"/>
      <c r="BF131" s="12"/>
      <c r="BP131" s="7"/>
      <c r="BQ131" s="14"/>
      <c r="BR131" s="14"/>
      <c r="BS131" s="14"/>
      <c r="BT131" s="14"/>
      <c r="BU131" s="14"/>
      <c r="BV131" s="14"/>
      <c r="CF131" s="3"/>
      <c r="CG131" s="12"/>
      <c r="CH131" s="12"/>
      <c r="CI131" s="12"/>
      <c r="CJ131" s="12"/>
      <c r="CK131" s="12"/>
      <c r="CL131" s="12"/>
    </row>
    <row r="132" spans="4:90" x14ac:dyDescent="0.3">
      <c r="D132" s="3"/>
      <c r="E132" s="12"/>
      <c r="F132" s="12"/>
      <c r="G132" s="12"/>
      <c r="H132" s="12"/>
      <c r="I132" s="12"/>
      <c r="J132" s="12"/>
      <c r="T132" s="7"/>
      <c r="U132" s="14"/>
      <c r="V132" s="14"/>
      <c r="W132" s="14"/>
      <c r="X132" s="14"/>
      <c r="Y132" s="14"/>
      <c r="Z132" s="14"/>
      <c r="AJ132" s="3"/>
      <c r="AK132" s="12"/>
      <c r="AL132" s="12"/>
      <c r="AM132" s="12"/>
      <c r="AN132" s="12"/>
      <c r="AO132" s="12"/>
      <c r="AP132" s="12"/>
      <c r="AZ132" s="3"/>
      <c r="BA132" s="12"/>
      <c r="BB132" s="12"/>
      <c r="BC132" s="12"/>
      <c r="BD132" s="12"/>
      <c r="BE132" s="12"/>
      <c r="BF132" s="12"/>
      <c r="BP132" s="7"/>
      <c r="BQ132" s="14"/>
      <c r="BR132" s="14"/>
      <c r="BS132" s="14"/>
      <c r="BT132" s="14"/>
      <c r="BU132" s="14"/>
      <c r="BV132" s="14"/>
      <c r="CF132" s="3"/>
      <c r="CG132" s="12"/>
      <c r="CH132" s="12"/>
      <c r="CI132" s="12"/>
      <c r="CJ132" s="12"/>
      <c r="CK132" s="12"/>
      <c r="CL132" s="12"/>
    </row>
    <row r="133" spans="4:90" x14ac:dyDescent="0.3">
      <c r="D133" s="3"/>
      <c r="E133" s="12"/>
      <c r="F133" s="12"/>
      <c r="G133" s="12"/>
      <c r="H133" s="12"/>
      <c r="I133" s="12"/>
      <c r="J133" s="12"/>
      <c r="T133" s="7"/>
      <c r="U133" s="14"/>
      <c r="V133" s="14"/>
      <c r="W133" s="14"/>
      <c r="X133" s="14"/>
      <c r="Y133" s="14"/>
      <c r="Z133" s="14"/>
      <c r="AJ133" s="3"/>
      <c r="AK133" s="12"/>
      <c r="AL133" s="12"/>
      <c r="AM133" s="12"/>
      <c r="AN133" s="12"/>
      <c r="AO133" s="12"/>
      <c r="AP133" s="12"/>
      <c r="AZ133" s="3"/>
      <c r="BA133" s="12"/>
      <c r="BB133" s="12"/>
      <c r="BC133" s="12"/>
      <c r="BD133" s="12"/>
      <c r="BE133" s="12"/>
      <c r="BF133" s="12"/>
      <c r="BP133" s="7"/>
      <c r="BQ133" s="14"/>
      <c r="BR133" s="14"/>
      <c r="BS133" s="14"/>
      <c r="BT133" s="14"/>
      <c r="BU133" s="14"/>
      <c r="BV133" s="14"/>
      <c r="CF133" s="3"/>
      <c r="CG133" s="12"/>
      <c r="CH133" s="12"/>
      <c r="CI133" s="12"/>
      <c r="CJ133" s="12"/>
      <c r="CK133" s="12"/>
      <c r="CL133" s="12"/>
    </row>
    <row r="134" spans="4:90" x14ac:dyDescent="0.3">
      <c r="D134" s="3"/>
      <c r="E134" s="12"/>
      <c r="F134" s="12"/>
      <c r="G134" s="12"/>
      <c r="H134" s="12"/>
      <c r="I134" s="12"/>
      <c r="J134" s="12"/>
      <c r="T134" s="7"/>
      <c r="U134" s="14"/>
      <c r="V134" s="14"/>
      <c r="W134" s="14"/>
      <c r="X134" s="14"/>
      <c r="Y134" s="14"/>
      <c r="Z134" s="14"/>
      <c r="AJ134" s="3"/>
      <c r="AK134" s="12"/>
      <c r="AL134" s="12"/>
      <c r="AM134" s="12"/>
      <c r="AN134" s="12"/>
      <c r="AO134" s="12"/>
      <c r="AP134" s="12"/>
      <c r="AZ134" s="3"/>
      <c r="BA134" s="12"/>
      <c r="BB134" s="12"/>
      <c r="BC134" s="12"/>
      <c r="BD134" s="12"/>
      <c r="BE134" s="12"/>
      <c r="BF134" s="12"/>
      <c r="BP134" s="7"/>
      <c r="BQ134" s="14"/>
      <c r="BR134" s="14"/>
      <c r="BS134" s="14"/>
      <c r="BT134" s="14"/>
      <c r="BU134" s="14"/>
      <c r="BV134" s="14"/>
      <c r="CF134" s="3"/>
      <c r="CG134" s="12"/>
      <c r="CH134" s="12"/>
      <c r="CI134" s="12"/>
      <c r="CJ134" s="12"/>
      <c r="CK134" s="12"/>
      <c r="CL134" s="12"/>
    </row>
    <row r="135" spans="4:90" x14ac:dyDescent="0.3">
      <c r="D135" s="3"/>
      <c r="E135" s="12"/>
      <c r="F135" s="12"/>
      <c r="G135" s="12"/>
      <c r="H135" s="12"/>
      <c r="I135" s="12"/>
      <c r="J135" s="12"/>
      <c r="T135" s="7"/>
      <c r="U135" s="14"/>
      <c r="V135" s="14"/>
      <c r="W135" s="14"/>
      <c r="X135" s="14"/>
      <c r="Y135" s="14"/>
      <c r="Z135" s="14"/>
      <c r="AJ135" s="3"/>
      <c r="AK135" s="12"/>
      <c r="AL135" s="12"/>
      <c r="AM135" s="12"/>
      <c r="AN135" s="12"/>
      <c r="AO135" s="12"/>
      <c r="AP135" s="12"/>
      <c r="AZ135" s="3"/>
      <c r="BA135" s="12"/>
      <c r="BB135" s="12"/>
      <c r="BC135" s="12"/>
      <c r="BD135" s="12"/>
      <c r="BE135" s="12"/>
      <c r="BF135" s="12"/>
      <c r="BP135" s="7"/>
      <c r="BQ135" s="14"/>
      <c r="BR135" s="14"/>
      <c r="BS135" s="14"/>
      <c r="BT135" s="14"/>
      <c r="BU135" s="14"/>
      <c r="BV135" s="14"/>
      <c r="CF135" s="3"/>
      <c r="CG135" s="12"/>
      <c r="CH135" s="12"/>
      <c r="CI135" s="12"/>
      <c r="CJ135" s="12"/>
      <c r="CK135" s="12"/>
      <c r="CL135" s="12"/>
    </row>
    <row r="136" spans="4:90" x14ac:dyDescent="0.3">
      <c r="D136" s="3"/>
      <c r="E136" s="12"/>
      <c r="F136" s="12"/>
      <c r="G136" s="12"/>
      <c r="H136" s="12"/>
      <c r="I136" s="12"/>
      <c r="J136" s="12"/>
      <c r="T136" s="7"/>
      <c r="U136" s="14"/>
      <c r="V136" s="14"/>
      <c r="W136" s="14"/>
      <c r="X136" s="14"/>
      <c r="Y136" s="14"/>
      <c r="Z136" s="14"/>
      <c r="AJ136" s="3"/>
      <c r="AK136" s="12"/>
      <c r="AL136" s="12"/>
      <c r="AM136" s="12"/>
      <c r="AN136" s="12"/>
      <c r="AO136" s="12"/>
      <c r="AP136" s="12"/>
      <c r="AZ136" s="3"/>
      <c r="BA136" s="12"/>
      <c r="BB136" s="12"/>
      <c r="BC136" s="12"/>
      <c r="BD136" s="12"/>
      <c r="BE136" s="12"/>
      <c r="BF136" s="12"/>
      <c r="BP136" s="7"/>
      <c r="BQ136" s="14"/>
      <c r="BR136" s="14"/>
      <c r="BS136" s="14"/>
      <c r="BT136" s="14"/>
      <c r="BU136" s="14"/>
      <c r="BV136" s="14"/>
      <c r="CF136" s="3"/>
      <c r="CG136" s="12"/>
      <c r="CH136" s="12"/>
      <c r="CI136" s="12"/>
      <c r="CJ136" s="12"/>
      <c r="CK136" s="12"/>
      <c r="CL136" s="12"/>
    </row>
    <row r="137" spans="4:90" x14ac:dyDescent="0.3">
      <c r="D137" s="3"/>
      <c r="E137" s="12"/>
      <c r="F137" s="12"/>
      <c r="G137" s="12"/>
      <c r="H137" s="12"/>
      <c r="I137" s="12"/>
      <c r="J137" s="12"/>
      <c r="T137" s="7"/>
      <c r="U137" s="14"/>
      <c r="V137" s="14"/>
      <c r="W137" s="14"/>
      <c r="X137" s="14"/>
      <c r="Y137" s="14"/>
      <c r="Z137" s="14"/>
      <c r="AJ137" s="3"/>
      <c r="AK137" s="12"/>
      <c r="AL137" s="12"/>
      <c r="AM137" s="12"/>
      <c r="AN137" s="12"/>
      <c r="AO137" s="12"/>
      <c r="AP137" s="12"/>
      <c r="AZ137" s="3"/>
      <c r="BA137" s="12"/>
      <c r="BB137" s="12"/>
      <c r="BC137" s="12"/>
      <c r="BD137" s="12"/>
      <c r="BE137" s="12"/>
      <c r="BF137" s="12"/>
      <c r="BP137" s="7"/>
      <c r="BQ137" s="14"/>
      <c r="BR137" s="14"/>
      <c r="BS137" s="14"/>
      <c r="BT137" s="14"/>
      <c r="BU137" s="14"/>
      <c r="BV137" s="14"/>
      <c r="CF137" s="3"/>
      <c r="CG137" s="12"/>
      <c r="CH137" s="12"/>
      <c r="CI137" s="12"/>
      <c r="CJ137" s="12"/>
      <c r="CK137" s="12"/>
      <c r="CL137" s="12"/>
    </row>
    <row r="138" spans="4:90" x14ac:dyDescent="0.3">
      <c r="D138" s="3"/>
      <c r="E138" s="12"/>
      <c r="F138" s="12"/>
      <c r="G138" s="12"/>
      <c r="H138" s="12"/>
      <c r="I138" s="12"/>
      <c r="J138" s="12"/>
      <c r="T138" s="7"/>
      <c r="U138" s="14"/>
      <c r="V138" s="14"/>
      <c r="W138" s="14"/>
      <c r="X138" s="14"/>
      <c r="Y138" s="14"/>
      <c r="Z138" s="14"/>
      <c r="AJ138" s="3"/>
      <c r="AK138" s="12"/>
      <c r="AL138" s="12"/>
      <c r="AM138" s="12"/>
      <c r="AN138" s="12"/>
      <c r="AO138" s="12"/>
      <c r="AP138" s="12"/>
      <c r="AZ138" s="3"/>
      <c r="BA138" s="12"/>
      <c r="BB138" s="12"/>
      <c r="BC138" s="12"/>
      <c r="BD138" s="12"/>
      <c r="BE138" s="12"/>
      <c r="BF138" s="12"/>
      <c r="BP138" s="7"/>
      <c r="BQ138" s="14"/>
      <c r="BR138" s="14"/>
      <c r="BS138" s="14"/>
      <c r="BT138" s="14"/>
      <c r="BU138" s="14"/>
      <c r="BV138" s="14"/>
      <c r="CF138" s="3"/>
      <c r="CG138" s="12"/>
      <c r="CH138" s="12"/>
      <c r="CI138" s="12"/>
      <c r="CJ138" s="12"/>
      <c r="CK138" s="12"/>
      <c r="CL138" s="12"/>
    </row>
    <row r="139" spans="4:90" x14ac:dyDescent="0.3">
      <c r="D139" s="3"/>
      <c r="E139" s="12"/>
      <c r="F139" s="12"/>
      <c r="G139" s="12"/>
      <c r="H139" s="12"/>
      <c r="I139" s="12"/>
      <c r="J139" s="12"/>
      <c r="T139" s="7"/>
      <c r="U139" s="14"/>
      <c r="V139" s="14"/>
      <c r="W139" s="14"/>
      <c r="X139" s="14"/>
      <c r="Y139" s="14"/>
      <c r="Z139" s="14"/>
      <c r="AJ139" s="3"/>
      <c r="AK139" s="12"/>
      <c r="AL139" s="12"/>
      <c r="AM139" s="12"/>
      <c r="AN139" s="12"/>
      <c r="AO139" s="12"/>
      <c r="AP139" s="12"/>
      <c r="AZ139" s="3"/>
      <c r="BA139" s="12"/>
      <c r="BB139" s="12"/>
      <c r="BC139" s="12"/>
      <c r="BD139" s="12"/>
      <c r="BE139" s="12"/>
      <c r="BF139" s="12"/>
      <c r="BP139" s="7"/>
      <c r="BQ139" s="14"/>
      <c r="BR139" s="14"/>
      <c r="BS139" s="14"/>
      <c r="BT139" s="14"/>
      <c r="BU139" s="14"/>
      <c r="BV139" s="14"/>
      <c r="CF139" s="3"/>
      <c r="CG139" s="12"/>
      <c r="CH139" s="12"/>
      <c r="CI139" s="12"/>
      <c r="CJ139" s="12"/>
      <c r="CK139" s="12"/>
      <c r="CL139" s="12"/>
    </row>
    <row r="140" spans="4:90" x14ac:dyDescent="0.3">
      <c r="D140" s="3"/>
      <c r="E140" s="12"/>
      <c r="F140" s="12"/>
      <c r="G140" s="12"/>
      <c r="H140" s="12"/>
      <c r="I140" s="12"/>
      <c r="J140" s="12"/>
      <c r="T140" s="7"/>
      <c r="U140" s="14"/>
      <c r="V140" s="14"/>
      <c r="W140" s="14"/>
      <c r="X140" s="14"/>
      <c r="Y140" s="14"/>
      <c r="Z140" s="14"/>
      <c r="AJ140" s="3"/>
      <c r="AK140" s="12"/>
      <c r="AL140" s="12"/>
      <c r="AM140" s="12"/>
      <c r="AN140" s="12"/>
      <c r="AO140" s="12"/>
      <c r="AP140" s="12"/>
      <c r="AZ140" s="3"/>
      <c r="BA140" s="12"/>
      <c r="BB140" s="12"/>
      <c r="BC140" s="12"/>
      <c r="BD140" s="12"/>
      <c r="BE140" s="12"/>
      <c r="BF140" s="12"/>
      <c r="BP140" s="7"/>
      <c r="BQ140" s="14"/>
      <c r="BR140" s="14"/>
      <c r="BS140" s="14"/>
      <c r="BT140" s="14"/>
      <c r="BU140" s="14"/>
      <c r="BV140" s="14"/>
      <c r="CF140" s="3"/>
      <c r="CG140" s="12"/>
      <c r="CH140" s="12"/>
      <c r="CI140" s="12"/>
      <c r="CJ140" s="12"/>
      <c r="CK140" s="12"/>
      <c r="CL140" s="12"/>
    </row>
    <row r="141" spans="4:90" x14ac:dyDescent="0.3">
      <c r="D141" s="3"/>
      <c r="E141" s="12"/>
      <c r="F141" s="12"/>
      <c r="G141" s="12"/>
      <c r="H141" s="12"/>
      <c r="I141" s="12"/>
      <c r="J141" s="12"/>
      <c r="T141" s="7"/>
      <c r="U141" s="14"/>
      <c r="V141" s="14"/>
      <c r="W141" s="14"/>
      <c r="X141" s="14"/>
      <c r="Y141" s="14"/>
      <c r="Z141" s="14"/>
      <c r="AJ141" s="3"/>
      <c r="AK141" s="12"/>
      <c r="AL141" s="12"/>
      <c r="AM141" s="12"/>
      <c r="AN141" s="12"/>
      <c r="AO141" s="12"/>
      <c r="AP141" s="12"/>
      <c r="AZ141" s="3"/>
      <c r="BA141" s="12"/>
      <c r="BB141" s="12"/>
      <c r="BC141" s="12"/>
      <c r="BD141" s="12"/>
      <c r="BE141" s="12"/>
      <c r="BF141" s="12"/>
      <c r="BP141" s="7"/>
      <c r="BQ141" s="14"/>
      <c r="BR141" s="14"/>
      <c r="BS141" s="14"/>
      <c r="BT141" s="14"/>
      <c r="BU141" s="14"/>
      <c r="BV141" s="14"/>
      <c r="CF141" s="3"/>
      <c r="CG141" s="12"/>
      <c r="CH141" s="12"/>
      <c r="CI141" s="12"/>
      <c r="CJ141" s="12"/>
      <c r="CK141" s="12"/>
      <c r="CL141" s="12"/>
    </row>
    <row r="142" spans="4:90" x14ac:dyDescent="0.3">
      <c r="D142" s="3"/>
      <c r="E142" s="12"/>
      <c r="F142" s="12"/>
      <c r="G142" s="12"/>
      <c r="H142" s="12"/>
      <c r="I142" s="12"/>
      <c r="J142" s="12"/>
      <c r="T142" s="7"/>
      <c r="U142" s="14"/>
      <c r="V142" s="14"/>
      <c r="W142" s="14"/>
      <c r="X142" s="14"/>
      <c r="Y142" s="14"/>
      <c r="Z142" s="14"/>
      <c r="AJ142" s="3"/>
      <c r="AK142" s="12"/>
      <c r="AL142" s="12"/>
      <c r="AM142" s="12"/>
      <c r="AN142" s="12"/>
      <c r="AO142" s="12"/>
      <c r="AP142" s="12"/>
      <c r="AZ142" s="3"/>
      <c r="BA142" s="12"/>
      <c r="BB142" s="12"/>
      <c r="BC142" s="12"/>
      <c r="BD142" s="12"/>
      <c r="BE142" s="12"/>
      <c r="BF142" s="12"/>
      <c r="BP142" s="7"/>
      <c r="BQ142" s="14"/>
      <c r="BR142" s="14"/>
      <c r="BS142" s="14"/>
      <c r="BT142" s="14"/>
      <c r="BU142" s="14"/>
      <c r="BV142" s="14"/>
      <c r="CF142" s="3"/>
      <c r="CG142" s="12"/>
      <c r="CH142" s="12"/>
      <c r="CI142" s="12"/>
      <c r="CJ142" s="12"/>
      <c r="CK142" s="12"/>
      <c r="CL142" s="12"/>
    </row>
    <row r="143" spans="4:90" x14ac:dyDescent="0.3">
      <c r="D143" s="3"/>
      <c r="E143" s="12"/>
      <c r="F143" s="12"/>
      <c r="G143" s="12"/>
      <c r="H143" s="12"/>
      <c r="I143" s="12"/>
      <c r="J143" s="12"/>
      <c r="T143" s="7"/>
      <c r="U143" s="14"/>
      <c r="V143" s="14"/>
      <c r="W143" s="14"/>
      <c r="X143" s="14"/>
      <c r="Y143" s="14"/>
      <c r="Z143" s="14"/>
      <c r="AJ143" s="3"/>
      <c r="AK143" s="12"/>
      <c r="AL143" s="12"/>
      <c r="AM143" s="12"/>
      <c r="AN143" s="12"/>
      <c r="AO143" s="12"/>
      <c r="AP143" s="12"/>
      <c r="AZ143" s="3"/>
      <c r="BA143" s="12"/>
      <c r="BB143" s="12"/>
      <c r="BC143" s="12"/>
      <c r="BD143" s="12"/>
      <c r="BE143" s="12"/>
      <c r="BF143" s="12"/>
      <c r="BP143" s="7"/>
      <c r="BQ143" s="14"/>
      <c r="BR143" s="14"/>
      <c r="BS143" s="14"/>
      <c r="BT143" s="14"/>
      <c r="BU143" s="14"/>
      <c r="BV143" s="14"/>
      <c r="CF143" s="3"/>
      <c r="CG143" s="12"/>
      <c r="CH143" s="12"/>
      <c r="CI143" s="12"/>
      <c r="CJ143" s="12"/>
      <c r="CK143" s="12"/>
      <c r="CL143" s="12"/>
    </row>
    <row r="144" spans="4:90" x14ac:dyDescent="0.3">
      <c r="D144" s="3"/>
      <c r="E144" s="12"/>
      <c r="F144" s="12"/>
      <c r="G144" s="12"/>
      <c r="H144" s="12"/>
      <c r="I144" s="12"/>
      <c r="J144" s="12"/>
      <c r="T144" s="7"/>
      <c r="U144" s="14"/>
      <c r="V144" s="14"/>
      <c r="W144" s="14"/>
      <c r="X144" s="14"/>
      <c r="Y144" s="14"/>
      <c r="Z144" s="14"/>
      <c r="AJ144" s="3"/>
      <c r="AK144" s="12"/>
      <c r="AL144" s="12"/>
      <c r="AM144" s="12"/>
      <c r="AN144" s="12"/>
      <c r="AO144" s="12"/>
      <c r="AP144" s="12"/>
      <c r="AZ144" s="3"/>
      <c r="BA144" s="12"/>
      <c r="BB144" s="12"/>
      <c r="BC144" s="12"/>
      <c r="BD144" s="12"/>
      <c r="BE144" s="12"/>
      <c r="BF144" s="12"/>
      <c r="BP144" s="7"/>
      <c r="BQ144" s="14"/>
      <c r="BR144" s="14"/>
      <c r="BS144" s="14"/>
      <c r="BT144" s="14"/>
      <c r="BU144" s="14"/>
      <c r="BV144" s="14"/>
      <c r="CF144" s="3"/>
      <c r="CG144" s="12"/>
      <c r="CH144" s="12"/>
      <c r="CI144" s="12"/>
      <c r="CJ144" s="12"/>
      <c r="CK144" s="12"/>
      <c r="CL144" s="12"/>
    </row>
    <row r="145" spans="4:90" x14ac:dyDescent="0.3">
      <c r="D145" s="3"/>
      <c r="E145" s="12"/>
      <c r="F145" s="12"/>
      <c r="G145" s="12"/>
      <c r="H145" s="12"/>
      <c r="I145" s="12"/>
      <c r="J145" s="12"/>
      <c r="T145" s="7"/>
      <c r="U145" s="14"/>
      <c r="V145" s="14"/>
      <c r="W145" s="14"/>
      <c r="X145" s="14"/>
      <c r="Y145" s="14"/>
      <c r="Z145" s="14"/>
      <c r="AJ145" s="3"/>
      <c r="AK145" s="12"/>
      <c r="AL145" s="12"/>
      <c r="AM145" s="12"/>
      <c r="AN145" s="12"/>
      <c r="AO145" s="12"/>
      <c r="AP145" s="12"/>
      <c r="AZ145" s="3"/>
      <c r="BA145" s="12"/>
      <c r="BB145" s="12"/>
      <c r="BC145" s="12"/>
      <c r="BD145" s="12"/>
      <c r="BE145" s="12"/>
      <c r="BF145" s="12"/>
      <c r="BP145" s="7"/>
      <c r="BQ145" s="14"/>
      <c r="BR145" s="14"/>
      <c r="BS145" s="14"/>
      <c r="BT145" s="14"/>
      <c r="BU145" s="14"/>
      <c r="BV145" s="14"/>
      <c r="CF145" s="3"/>
      <c r="CG145" s="12"/>
      <c r="CH145" s="12"/>
      <c r="CI145" s="12"/>
      <c r="CJ145" s="12"/>
      <c r="CK145" s="12"/>
      <c r="CL145" s="12"/>
    </row>
    <row r="146" spans="4:90" x14ac:dyDescent="0.3">
      <c r="D146" s="3"/>
      <c r="E146" s="12"/>
      <c r="F146" s="12"/>
      <c r="G146" s="12"/>
      <c r="H146" s="12"/>
      <c r="I146" s="12"/>
      <c r="J146" s="12"/>
      <c r="T146" s="7"/>
      <c r="U146" s="14"/>
      <c r="V146" s="14"/>
      <c r="W146" s="14"/>
      <c r="X146" s="14"/>
      <c r="Y146" s="14"/>
      <c r="Z146" s="14"/>
      <c r="AJ146" s="3"/>
      <c r="AK146" s="12"/>
      <c r="AL146" s="12"/>
      <c r="AM146" s="12"/>
      <c r="AN146" s="12"/>
      <c r="AO146" s="12"/>
      <c r="AP146" s="12"/>
      <c r="AZ146" s="3"/>
      <c r="BA146" s="12"/>
      <c r="BB146" s="12"/>
      <c r="BC146" s="12"/>
      <c r="BD146" s="12"/>
      <c r="BE146" s="12"/>
      <c r="BF146" s="12"/>
      <c r="BP146" s="7"/>
      <c r="BQ146" s="14"/>
      <c r="BR146" s="14"/>
      <c r="BS146" s="14"/>
      <c r="BT146" s="14"/>
      <c r="BU146" s="14"/>
      <c r="BV146" s="14"/>
      <c r="CF146" s="3"/>
      <c r="CG146" s="12"/>
      <c r="CH146" s="12"/>
      <c r="CI146" s="12"/>
      <c r="CJ146" s="12"/>
      <c r="CK146" s="12"/>
      <c r="CL146" s="12"/>
    </row>
    <row r="147" spans="4:90" x14ac:dyDescent="0.3">
      <c r="D147" s="3"/>
      <c r="E147" s="12"/>
      <c r="F147" s="12"/>
      <c r="G147" s="12"/>
      <c r="H147" s="12"/>
      <c r="I147" s="12"/>
      <c r="J147" s="12"/>
      <c r="T147" s="7"/>
      <c r="U147" s="14"/>
      <c r="V147" s="14"/>
      <c r="W147" s="14"/>
      <c r="X147" s="14"/>
      <c r="Y147" s="14"/>
      <c r="Z147" s="14"/>
      <c r="AJ147" s="3"/>
      <c r="AK147" s="12"/>
      <c r="AL147" s="12"/>
      <c r="AM147" s="12"/>
      <c r="AN147" s="12"/>
      <c r="AO147" s="12"/>
      <c r="AP147" s="12"/>
      <c r="AZ147" s="3"/>
      <c r="BA147" s="12"/>
      <c r="BB147" s="12"/>
      <c r="BC147" s="12"/>
      <c r="BD147" s="12"/>
      <c r="BE147" s="12"/>
      <c r="BF147" s="12"/>
      <c r="BP147" s="7"/>
      <c r="BQ147" s="14"/>
      <c r="BR147" s="14"/>
      <c r="BS147" s="14"/>
      <c r="BT147" s="14"/>
      <c r="BU147" s="14"/>
      <c r="BV147" s="14"/>
      <c r="CF147" s="3"/>
      <c r="CG147" s="12"/>
      <c r="CH147" s="12"/>
      <c r="CI147" s="12"/>
      <c r="CJ147" s="12"/>
      <c r="CK147" s="12"/>
      <c r="CL147" s="12"/>
    </row>
    <row r="148" spans="4:90" x14ac:dyDescent="0.3">
      <c r="D148" s="3"/>
      <c r="E148" s="12"/>
      <c r="F148" s="12"/>
      <c r="G148" s="12"/>
      <c r="H148" s="12"/>
      <c r="I148" s="12"/>
      <c r="J148" s="12"/>
      <c r="T148" s="7"/>
      <c r="U148" s="14"/>
      <c r="V148" s="14"/>
      <c r="W148" s="14"/>
      <c r="X148" s="14"/>
      <c r="Y148" s="14"/>
      <c r="Z148" s="14"/>
      <c r="AJ148" s="3"/>
      <c r="AK148" s="12"/>
      <c r="AL148" s="12"/>
      <c r="AM148" s="12"/>
      <c r="AN148" s="12"/>
      <c r="AO148" s="12"/>
      <c r="AP148" s="12"/>
      <c r="AZ148" s="3"/>
      <c r="BA148" s="12"/>
      <c r="BB148" s="12"/>
      <c r="BC148" s="12"/>
      <c r="BD148" s="12"/>
      <c r="BE148" s="12"/>
      <c r="BF148" s="12"/>
      <c r="BP148" s="7"/>
      <c r="BQ148" s="14"/>
      <c r="BR148" s="14"/>
      <c r="BS148" s="14"/>
      <c r="BT148" s="14"/>
      <c r="BU148" s="14"/>
      <c r="BV148" s="14"/>
      <c r="CF148" s="3"/>
      <c r="CG148" s="12"/>
      <c r="CH148" s="12"/>
      <c r="CI148" s="12"/>
      <c r="CJ148" s="12"/>
      <c r="CK148" s="12"/>
      <c r="CL148" s="12"/>
    </row>
    <row r="149" spans="4:90" x14ac:dyDescent="0.3">
      <c r="D149" s="3"/>
      <c r="E149" s="12"/>
      <c r="F149" s="12"/>
      <c r="G149" s="12"/>
      <c r="H149" s="12"/>
      <c r="I149" s="12"/>
      <c r="J149" s="12"/>
      <c r="T149" s="7"/>
      <c r="U149" s="14"/>
      <c r="V149" s="14"/>
      <c r="W149" s="14"/>
      <c r="X149" s="14"/>
      <c r="Y149" s="14"/>
      <c r="Z149" s="14"/>
      <c r="AJ149" s="3"/>
      <c r="AK149" s="12"/>
      <c r="AL149" s="12"/>
      <c r="AM149" s="12"/>
      <c r="AN149" s="12"/>
      <c r="AO149" s="12"/>
      <c r="AP149" s="12"/>
      <c r="AZ149" s="3"/>
      <c r="BA149" s="12"/>
      <c r="BB149" s="12"/>
      <c r="BC149" s="12"/>
      <c r="BD149" s="12"/>
      <c r="BE149" s="12"/>
      <c r="BF149" s="12"/>
      <c r="BP149" s="7"/>
      <c r="BQ149" s="14"/>
      <c r="BR149" s="14"/>
      <c r="BS149" s="14"/>
      <c r="BT149" s="14"/>
      <c r="BU149" s="14"/>
      <c r="BV149" s="14"/>
      <c r="CF149" s="3"/>
      <c r="CG149" s="12"/>
      <c r="CH149" s="12"/>
      <c r="CI149" s="12"/>
      <c r="CJ149" s="12"/>
      <c r="CK149" s="12"/>
      <c r="CL149" s="12"/>
    </row>
    <row r="150" spans="4:90" x14ac:dyDescent="0.3">
      <c r="D150" s="3"/>
      <c r="E150" s="12"/>
      <c r="F150" s="12"/>
      <c r="G150" s="12"/>
      <c r="H150" s="12"/>
      <c r="I150" s="12"/>
      <c r="J150" s="12"/>
      <c r="T150" s="7"/>
      <c r="U150" s="14"/>
      <c r="V150" s="14"/>
      <c r="W150" s="14"/>
      <c r="X150" s="14"/>
      <c r="Y150" s="14"/>
      <c r="Z150" s="14"/>
      <c r="AJ150" s="3"/>
      <c r="AK150" s="12"/>
      <c r="AL150" s="12"/>
      <c r="AM150" s="12"/>
      <c r="AN150" s="12"/>
      <c r="AO150" s="12"/>
      <c r="AP150" s="12"/>
      <c r="AZ150" s="3"/>
      <c r="BA150" s="12"/>
      <c r="BB150" s="12"/>
      <c r="BC150" s="12"/>
      <c r="BD150" s="12"/>
      <c r="BE150" s="12"/>
      <c r="BF150" s="12"/>
      <c r="BP150" s="7"/>
      <c r="BQ150" s="14"/>
      <c r="BR150" s="14"/>
      <c r="BS150" s="14"/>
      <c r="BT150" s="14"/>
      <c r="BU150" s="14"/>
      <c r="BV150" s="14"/>
      <c r="CF150" s="3"/>
      <c r="CG150" s="12"/>
      <c r="CH150" s="12"/>
      <c r="CI150" s="12"/>
      <c r="CJ150" s="12"/>
      <c r="CK150" s="12"/>
      <c r="CL150" s="12"/>
    </row>
    <row r="151" spans="4:90" x14ac:dyDescent="0.3">
      <c r="D151" s="3"/>
      <c r="E151" s="12"/>
      <c r="F151" s="12"/>
      <c r="G151" s="12"/>
      <c r="H151" s="12"/>
      <c r="I151" s="12"/>
      <c r="J151" s="12"/>
      <c r="T151" s="7"/>
      <c r="U151" s="14"/>
      <c r="V151" s="14"/>
      <c r="W151" s="14"/>
      <c r="X151" s="14"/>
      <c r="Y151" s="14"/>
      <c r="Z151" s="14"/>
      <c r="AJ151" s="3"/>
      <c r="AK151" s="12"/>
      <c r="AL151" s="12"/>
      <c r="AM151" s="12"/>
      <c r="AN151" s="12"/>
      <c r="AO151" s="12"/>
      <c r="AP151" s="12"/>
      <c r="AZ151" s="3"/>
      <c r="BA151" s="12"/>
      <c r="BB151" s="12"/>
      <c r="BC151" s="12"/>
      <c r="BD151" s="12"/>
      <c r="BE151" s="12"/>
      <c r="BF151" s="12"/>
      <c r="BP151" s="7"/>
      <c r="BQ151" s="14"/>
      <c r="BR151" s="14"/>
      <c r="BS151" s="14"/>
      <c r="BT151" s="14"/>
      <c r="BU151" s="14"/>
      <c r="BV151" s="14"/>
      <c r="CF151" s="3"/>
      <c r="CG151" s="12"/>
      <c r="CH151" s="12"/>
      <c r="CI151" s="12"/>
      <c r="CJ151" s="12"/>
      <c r="CK151" s="12"/>
      <c r="CL151" s="12"/>
    </row>
    <row r="152" spans="4:90" x14ac:dyDescent="0.3">
      <c r="D152" s="3"/>
      <c r="E152" s="12"/>
      <c r="F152" s="12"/>
      <c r="G152" s="12"/>
      <c r="H152" s="12"/>
      <c r="I152" s="12"/>
      <c r="J152" s="12"/>
      <c r="T152" s="7"/>
      <c r="U152" s="14"/>
      <c r="V152" s="14"/>
      <c r="W152" s="14"/>
      <c r="X152" s="14"/>
      <c r="Y152" s="14"/>
      <c r="Z152" s="14"/>
      <c r="AJ152" s="3"/>
      <c r="AK152" s="12"/>
      <c r="AL152" s="12"/>
      <c r="AM152" s="12"/>
      <c r="AN152" s="12"/>
      <c r="AO152" s="12"/>
      <c r="AP152" s="12"/>
      <c r="AZ152" s="3"/>
      <c r="BA152" s="12"/>
      <c r="BB152" s="12"/>
      <c r="BC152" s="12"/>
      <c r="BD152" s="12"/>
      <c r="BE152" s="12"/>
      <c r="BF152" s="12"/>
      <c r="BP152" s="7"/>
      <c r="BQ152" s="14"/>
      <c r="BR152" s="14"/>
      <c r="BS152" s="14"/>
      <c r="BT152" s="14"/>
      <c r="BU152" s="14"/>
      <c r="BV152" s="14"/>
      <c r="CF152" s="3"/>
      <c r="CG152" s="12"/>
      <c r="CH152" s="12"/>
      <c r="CI152" s="12"/>
      <c r="CJ152" s="12"/>
      <c r="CK152" s="12"/>
      <c r="CL152" s="12"/>
    </row>
    <row r="153" spans="4:90" x14ac:dyDescent="0.3">
      <c r="D153" s="3"/>
      <c r="E153" s="12"/>
      <c r="F153" s="12"/>
      <c r="G153" s="12"/>
      <c r="H153" s="12"/>
      <c r="I153" s="12"/>
      <c r="J153" s="12"/>
      <c r="T153" s="7"/>
      <c r="U153" s="14"/>
      <c r="V153" s="14"/>
      <c r="W153" s="14"/>
      <c r="X153" s="14"/>
      <c r="Y153" s="14"/>
      <c r="Z153" s="14"/>
      <c r="AJ153" s="3"/>
      <c r="AK153" s="12"/>
      <c r="AL153" s="12"/>
      <c r="AM153" s="12"/>
      <c r="AN153" s="12"/>
      <c r="AO153" s="12"/>
      <c r="AP153" s="12"/>
      <c r="AZ153" s="3"/>
      <c r="BA153" s="12"/>
      <c r="BB153" s="12"/>
      <c r="BC153" s="12"/>
      <c r="BD153" s="12"/>
      <c r="BE153" s="12"/>
      <c r="BF153" s="12"/>
      <c r="BP153" s="7"/>
      <c r="BQ153" s="14"/>
      <c r="BR153" s="14"/>
      <c r="BS153" s="14"/>
      <c r="BT153" s="14"/>
      <c r="BU153" s="14"/>
      <c r="BV153" s="14"/>
      <c r="CF153" s="3"/>
      <c r="CG153" s="12"/>
      <c r="CH153" s="12"/>
      <c r="CI153" s="12"/>
      <c r="CJ153" s="12"/>
      <c r="CK153" s="12"/>
      <c r="CL153" s="12"/>
    </row>
    <row r="154" spans="4:90" x14ac:dyDescent="0.3">
      <c r="D154" s="3"/>
      <c r="E154" s="12"/>
      <c r="F154" s="12"/>
      <c r="G154" s="12"/>
      <c r="H154" s="12"/>
      <c r="I154" s="12"/>
      <c r="J154" s="12"/>
      <c r="T154" s="7"/>
      <c r="U154" s="14"/>
      <c r="V154" s="14"/>
      <c r="W154" s="14"/>
      <c r="X154" s="14"/>
      <c r="Y154" s="14"/>
      <c r="Z154" s="14"/>
      <c r="AJ154" s="3"/>
      <c r="AK154" s="12"/>
      <c r="AL154" s="12"/>
      <c r="AM154" s="12"/>
      <c r="AN154" s="12"/>
      <c r="AO154" s="12"/>
      <c r="AP154" s="12"/>
      <c r="AZ154" s="3"/>
      <c r="BA154" s="12"/>
      <c r="BB154" s="12"/>
      <c r="BC154" s="12"/>
      <c r="BD154" s="12"/>
      <c r="BE154" s="12"/>
      <c r="BF154" s="12"/>
      <c r="BP154" s="7"/>
      <c r="BQ154" s="14"/>
      <c r="BR154" s="14"/>
      <c r="BS154" s="14"/>
      <c r="BT154" s="14"/>
      <c r="BU154" s="14"/>
      <c r="BV154" s="14"/>
      <c r="CF154" s="3"/>
      <c r="CG154" s="12"/>
      <c r="CH154" s="12"/>
      <c r="CI154" s="12"/>
      <c r="CJ154" s="12"/>
      <c r="CK154" s="12"/>
      <c r="CL154" s="12"/>
    </row>
    <row r="155" spans="4:90" x14ac:dyDescent="0.3">
      <c r="D155" s="3"/>
      <c r="E155" s="12"/>
      <c r="F155" s="12"/>
      <c r="G155" s="12"/>
      <c r="H155" s="12"/>
      <c r="I155" s="12"/>
      <c r="J155" s="12"/>
      <c r="T155" s="7"/>
      <c r="U155" s="14"/>
      <c r="V155" s="14"/>
      <c r="W155" s="14"/>
      <c r="X155" s="14"/>
      <c r="Y155" s="14"/>
      <c r="Z155" s="14"/>
      <c r="AJ155" s="3"/>
      <c r="AK155" s="12"/>
      <c r="AL155" s="12"/>
      <c r="AM155" s="12"/>
      <c r="AN155" s="12"/>
      <c r="AO155" s="12"/>
      <c r="AP155" s="12"/>
      <c r="AZ155" s="3"/>
      <c r="BA155" s="12"/>
      <c r="BB155" s="12"/>
      <c r="BC155" s="12"/>
      <c r="BD155" s="12"/>
      <c r="BE155" s="12"/>
      <c r="BF155" s="12"/>
      <c r="BP155" s="7"/>
      <c r="BQ155" s="14"/>
      <c r="BR155" s="14"/>
      <c r="BS155" s="14"/>
      <c r="BT155" s="14"/>
      <c r="BU155" s="14"/>
      <c r="BV155" s="14"/>
      <c r="CF155" s="3"/>
      <c r="CG155" s="12"/>
      <c r="CH155" s="12"/>
      <c r="CI155" s="12"/>
      <c r="CJ155" s="12"/>
      <c r="CK155" s="12"/>
      <c r="CL155" s="12"/>
    </row>
    <row r="156" spans="4:90" x14ac:dyDescent="0.3">
      <c r="D156" s="3"/>
      <c r="E156" s="12"/>
      <c r="F156" s="12"/>
      <c r="G156" s="12"/>
      <c r="H156" s="12"/>
      <c r="I156" s="12"/>
      <c r="J156" s="12"/>
      <c r="T156" s="7"/>
      <c r="U156" s="14"/>
      <c r="V156" s="14"/>
      <c r="W156" s="14"/>
      <c r="X156" s="14"/>
      <c r="Y156" s="14"/>
      <c r="Z156" s="14"/>
      <c r="AJ156" s="3"/>
      <c r="AK156" s="12"/>
      <c r="AL156" s="12"/>
      <c r="AM156" s="12"/>
      <c r="AN156" s="12"/>
      <c r="AO156" s="12"/>
      <c r="AP156" s="12"/>
      <c r="AZ156" s="3"/>
      <c r="BA156" s="12"/>
      <c r="BB156" s="12"/>
      <c r="BC156" s="12"/>
      <c r="BD156" s="12"/>
      <c r="BE156" s="12"/>
      <c r="BF156" s="12"/>
      <c r="BP156" s="7"/>
      <c r="BQ156" s="14"/>
      <c r="BR156" s="14"/>
      <c r="BS156" s="14"/>
      <c r="BT156" s="14"/>
      <c r="BU156" s="14"/>
      <c r="BV156" s="14"/>
      <c r="CF156" s="3"/>
      <c r="CG156" s="12"/>
      <c r="CH156" s="12"/>
      <c r="CI156" s="12"/>
      <c r="CJ156" s="12"/>
      <c r="CK156" s="12"/>
      <c r="CL156" s="12"/>
    </row>
    <row r="157" spans="4:90" x14ac:dyDescent="0.3">
      <c r="D157" s="3"/>
      <c r="E157" s="12"/>
      <c r="F157" s="12"/>
      <c r="G157" s="12"/>
      <c r="H157" s="12"/>
      <c r="I157" s="12"/>
      <c r="J157" s="12"/>
      <c r="T157" s="7"/>
      <c r="U157" s="14"/>
      <c r="V157" s="14"/>
      <c r="W157" s="14"/>
      <c r="X157" s="14"/>
      <c r="Y157" s="14"/>
      <c r="Z157" s="14"/>
      <c r="AJ157" s="3"/>
      <c r="AK157" s="12"/>
      <c r="AL157" s="12"/>
      <c r="AM157" s="12"/>
      <c r="AN157" s="12"/>
      <c r="AO157" s="12"/>
      <c r="AP157" s="12"/>
      <c r="AZ157" s="3"/>
      <c r="BA157" s="12"/>
      <c r="BB157" s="12"/>
      <c r="BC157" s="12"/>
      <c r="BD157" s="12"/>
      <c r="BE157" s="12"/>
      <c r="BF157" s="12"/>
      <c r="BP157" s="7"/>
      <c r="BQ157" s="14"/>
      <c r="BR157" s="14"/>
      <c r="BS157" s="14"/>
      <c r="BT157" s="14"/>
      <c r="BU157" s="14"/>
      <c r="BV157" s="14"/>
      <c r="CF157" s="3"/>
      <c r="CG157" s="12"/>
      <c r="CH157" s="12"/>
      <c r="CI157" s="12"/>
      <c r="CJ157" s="12"/>
      <c r="CK157" s="12"/>
      <c r="CL157" s="12"/>
    </row>
    <row r="158" spans="4:90" x14ac:dyDescent="0.3">
      <c r="D158" s="3"/>
      <c r="E158" s="12"/>
      <c r="F158" s="12"/>
      <c r="G158" s="12"/>
      <c r="H158" s="12"/>
      <c r="I158" s="12"/>
      <c r="J158" s="12"/>
      <c r="T158" s="7"/>
      <c r="U158" s="14"/>
      <c r="V158" s="14"/>
      <c r="W158" s="14"/>
      <c r="X158" s="14"/>
      <c r="Y158" s="14"/>
      <c r="Z158" s="14"/>
      <c r="AJ158" s="3"/>
      <c r="AK158" s="12"/>
      <c r="AL158" s="12"/>
      <c r="AM158" s="12"/>
      <c r="AN158" s="12"/>
      <c r="AO158" s="12"/>
      <c r="AP158" s="12"/>
      <c r="AZ158" s="3"/>
      <c r="BA158" s="12"/>
      <c r="BB158" s="12"/>
      <c r="BC158" s="12"/>
      <c r="BD158" s="12"/>
      <c r="BE158" s="12"/>
      <c r="BF158" s="12"/>
      <c r="BP158" s="7"/>
      <c r="BQ158" s="14"/>
      <c r="BR158" s="14"/>
      <c r="BS158" s="14"/>
      <c r="BT158" s="14"/>
      <c r="BU158" s="14"/>
      <c r="BV158" s="14"/>
      <c r="CF158" s="3"/>
      <c r="CG158" s="12"/>
      <c r="CH158" s="12"/>
      <c r="CI158" s="12"/>
      <c r="CJ158" s="12"/>
      <c r="CK158" s="12"/>
      <c r="CL158" s="12"/>
    </row>
    <row r="159" spans="4:90" x14ac:dyDescent="0.3">
      <c r="D159" s="3"/>
      <c r="E159" s="12"/>
      <c r="F159" s="12"/>
      <c r="G159" s="12"/>
      <c r="H159" s="12"/>
      <c r="I159" s="12"/>
      <c r="J159" s="12"/>
      <c r="T159" s="7"/>
      <c r="U159" s="14"/>
      <c r="V159" s="14"/>
      <c r="W159" s="14"/>
      <c r="X159" s="14"/>
      <c r="Y159" s="14"/>
      <c r="Z159" s="14"/>
      <c r="AJ159" s="3"/>
      <c r="AK159" s="12"/>
      <c r="AL159" s="12"/>
      <c r="AM159" s="12"/>
      <c r="AN159" s="12"/>
      <c r="AO159" s="12"/>
      <c r="AP159" s="12"/>
      <c r="AZ159" s="3"/>
      <c r="BA159" s="12"/>
      <c r="BB159" s="12"/>
      <c r="BC159" s="12"/>
      <c r="BD159" s="12"/>
      <c r="BE159" s="12"/>
      <c r="BF159" s="12"/>
      <c r="BP159" s="7"/>
      <c r="BQ159" s="14"/>
      <c r="BR159" s="14"/>
      <c r="BS159" s="14"/>
      <c r="BT159" s="14"/>
      <c r="BU159" s="14"/>
      <c r="BV159" s="14"/>
      <c r="CF159" s="3"/>
      <c r="CG159" s="12"/>
      <c r="CH159" s="12"/>
      <c r="CI159" s="12"/>
      <c r="CJ159" s="12"/>
      <c r="CK159" s="12"/>
      <c r="CL159" s="12"/>
    </row>
    <row r="160" spans="4:90" x14ac:dyDescent="0.3">
      <c r="D160" s="3"/>
      <c r="E160" s="12"/>
      <c r="F160" s="12"/>
      <c r="G160" s="12"/>
      <c r="H160" s="12"/>
      <c r="I160" s="12"/>
      <c r="J160" s="12"/>
      <c r="T160" s="7"/>
      <c r="U160" s="14"/>
      <c r="V160" s="14"/>
      <c r="W160" s="14"/>
      <c r="X160" s="14"/>
      <c r="Y160" s="14"/>
      <c r="Z160" s="14"/>
      <c r="AJ160" s="3"/>
      <c r="AK160" s="12"/>
      <c r="AL160" s="12"/>
      <c r="AM160" s="12"/>
      <c r="AN160" s="12"/>
      <c r="AO160" s="12"/>
      <c r="AP160" s="12"/>
      <c r="AZ160" s="3"/>
      <c r="BA160" s="12"/>
      <c r="BB160" s="12"/>
      <c r="BC160" s="12"/>
      <c r="BD160" s="12"/>
      <c r="BE160" s="12"/>
      <c r="BF160" s="12"/>
      <c r="BP160" s="7"/>
      <c r="BQ160" s="14"/>
      <c r="BR160" s="14"/>
      <c r="BS160" s="14"/>
      <c r="BT160" s="14"/>
      <c r="BU160" s="14"/>
      <c r="BV160" s="14"/>
      <c r="CF160" s="3"/>
      <c r="CG160" s="12"/>
      <c r="CH160" s="12"/>
      <c r="CI160" s="12"/>
      <c r="CJ160" s="12"/>
      <c r="CK160" s="12"/>
      <c r="CL160" s="12"/>
    </row>
    <row r="161" spans="4:90" x14ac:dyDescent="0.3">
      <c r="D161" s="3"/>
      <c r="E161" s="12"/>
      <c r="F161" s="12"/>
      <c r="G161" s="12"/>
      <c r="H161" s="12"/>
      <c r="I161" s="12"/>
      <c r="J161" s="12"/>
      <c r="T161" s="7"/>
      <c r="U161" s="14"/>
      <c r="V161" s="14"/>
      <c r="W161" s="14"/>
      <c r="X161" s="14"/>
      <c r="Y161" s="14"/>
      <c r="Z161" s="14"/>
      <c r="AJ161" s="3"/>
      <c r="AK161" s="12"/>
      <c r="AL161" s="12"/>
      <c r="AM161" s="12"/>
      <c r="AN161" s="12"/>
      <c r="AO161" s="12"/>
      <c r="AP161" s="12"/>
      <c r="AZ161" s="3"/>
      <c r="BA161" s="12"/>
      <c r="BB161" s="12"/>
      <c r="BC161" s="12"/>
      <c r="BD161" s="12"/>
      <c r="BE161" s="12"/>
      <c r="BF161" s="12"/>
      <c r="BP161" s="7"/>
      <c r="BQ161" s="14"/>
      <c r="BR161" s="14"/>
      <c r="BS161" s="14"/>
      <c r="BT161" s="14"/>
      <c r="BU161" s="14"/>
      <c r="BV161" s="14"/>
      <c r="CF161" s="3"/>
      <c r="CG161" s="12"/>
      <c r="CH161" s="12"/>
      <c r="CI161" s="12"/>
      <c r="CJ161" s="12"/>
      <c r="CK161" s="12"/>
      <c r="CL161" s="12"/>
    </row>
    <row r="162" spans="4:90" x14ac:dyDescent="0.3">
      <c r="D162" s="3"/>
      <c r="E162" s="12"/>
      <c r="F162" s="12"/>
      <c r="G162" s="12"/>
      <c r="H162" s="12"/>
      <c r="I162" s="12"/>
      <c r="J162" s="12"/>
      <c r="T162" s="7"/>
      <c r="U162" s="14"/>
      <c r="V162" s="14"/>
      <c r="W162" s="14"/>
      <c r="X162" s="14"/>
      <c r="Y162" s="14"/>
      <c r="Z162" s="14"/>
      <c r="AJ162" s="3"/>
      <c r="AK162" s="12"/>
      <c r="AL162" s="12"/>
      <c r="AM162" s="12"/>
      <c r="AN162" s="12"/>
      <c r="AO162" s="12"/>
      <c r="AP162" s="12"/>
      <c r="AZ162" s="3"/>
      <c r="BA162" s="12"/>
      <c r="BB162" s="12"/>
      <c r="BC162" s="12"/>
      <c r="BD162" s="12"/>
      <c r="BE162" s="12"/>
      <c r="BF162" s="12"/>
      <c r="BP162" s="7"/>
      <c r="BQ162" s="14"/>
      <c r="BR162" s="14"/>
      <c r="BS162" s="14"/>
      <c r="BT162" s="14"/>
      <c r="BU162" s="14"/>
      <c r="BV162" s="14"/>
      <c r="CF162" s="3"/>
      <c r="CG162" s="12"/>
      <c r="CH162" s="12"/>
      <c r="CI162" s="12"/>
      <c r="CJ162" s="12"/>
      <c r="CK162" s="12"/>
      <c r="CL162" s="12"/>
    </row>
    <row r="163" spans="4:90" x14ac:dyDescent="0.3">
      <c r="D163" s="3"/>
      <c r="E163" s="12"/>
      <c r="F163" s="12"/>
      <c r="G163" s="12"/>
      <c r="H163" s="12"/>
      <c r="I163" s="12"/>
      <c r="J163" s="12"/>
      <c r="T163" s="7"/>
      <c r="U163" s="14"/>
      <c r="V163" s="14"/>
      <c r="W163" s="14"/>
      <c r="X163" s="14"/>
      <c r="Y163" s="14"/>
      <c r="Z163" s="14"/>
      <c r="AJ163" s="3"/>
      <c r="AK163" s="12"/>
      <c r="AL163" s="12"/>
      <c r="AM163" s="12"/>
      <c r="AN163" s="12"/>
      <c r="AO163" s="12"/>
      <c r="AP163" s="12"/>
      <c r="AZ163" s="3"/>
      <c r="BA163" s="12"/>
      <c r="BB163" s="12"/>
      <c r="BC163" s="12"/>
      <c r="BD163" s="12"/>
      <c r="BE163" s="12"/>
      <c r="BF163" s="12"/>
      <c r="BP163" s="7"/>
      <c r="BQ163" s="14"/>
      <c r="BR163" s="14"/>
      <c r="BS163" s="14"/>
      <c r="BT163" s="14"/>
      <c r="BU163" s="14"/>
      <c r="BV163" s="14"/>
      <c r="CF163" s="3"/>
      <c r="CG163" s="12"/>
      <c r="CH163" s="12"/>
      <c r="CI163" s="12"/>
      <c r="CJ163" s="12"/>
      <c r="CK163" s="12"/>
      <c r="CL163" s="12"/>
    </row>
    <row r="164" spans="4:90" x14ac:dyDescent="0.3">
      <c r="D164" s="3"/>
      <c r="E164" s="12"/>
      <c r="F164" s="12"/>
      <c r="G164" s="12"/>
      <c r="H164" s="12"/>
      <c r="I164" s="12"/>
      <c r="J164" s="12"/>
      <c r="T164" s="7"/>
      <c r="U164" s="14"/>
      <c r="V164" s="14"/>
      <c r="W164" s="14"/>
      <c r="X164" s="14"/>
      <c r="Y164" s="14"/>
      <c r="Z164" s="14"/>
      <c r="AJ164" s="3"/>
      <c r="AK164" s="12"/>
      <c r="AL164" s="12"/>
      <c r="AM164" s="12"/>
      <c r="AN164" s="12"/>
      <c r="AO164" s="12"/>
      <c r="AP164" s="12"/>
      <c r="AZ164" s="3"/>
      <c r="BA164" s="12"/>
      <c r="BB164" s="12"/>
      <c r="BC164" s="12"/>
      <c r="BD164" s="12"/>
      <c r="BE164" s="12"/>
      <c r="BF164" s="12"/>
      <c r="BP164" s="7"/>
      <c r="BQ164" s="14"/>
      <c r="BR164" s="14"/>
      <c r="BS164" s="14"/>
      <c r="BT164" s="14"/>
      <c r="BU164" s="14"/>
      <c r="BV164" s="14"/>
      <c r="CF164" s="3"/>
      <c r="CG164" s="12"/>
      <c r="CH164" s="12"/>
      <c r="CI164" s="12"/>
      <c r="CJ164" s="12"/>
      <c r="CK164" s="12"/>
      <c r="CL164" s="12"/>
    </row>
    <row r="165" spans="4:90" x14ac:dyDescent="0.3">
      <c r="D165" s="3"/>
      <c r="E165" s="12"/>
      <c r="F165" s="12"/>
      <c r="G165" s="12"/>
      <c r="H165" s="12"/>
      <c r="I165" s="12"/>
      <c r="J165" s="12"/>
      <c r="T165" s="7"/>
      <c r="U165" s="14"/>
      <c r="V165" s="14"/>
      <c r="W165" s="14"/>
      <c r="X165" s="14"/>
      <c r="Y165" s="14"/>
      <c r="Z165" s="14"/>
      <c r="AJ165" s="3"/>
      <c r="AK165" s="12"/>
      <c r="AL165" s="12"/>
      <c r="AM165" s="12"/>
      <c r="AN165" s="12"/>
      <c r="AO165" s="12"/>
      <c r="AP165" s="12"/>
      <c r="AZ165" s="3"/>
      <c r="BA165" s="12"/>
      <c r="BB165" s="12"/>
      <c r="BC165" s="12"/>
      <c r="BD165" s="12"/>
      <c r="BE165" s="12"/>
      <c r="BF165" s="12"/>
      <c r="BP165" s="7"/>
      <c r="BQ165" s="14"/>
      <c r="BR165" s="14"/>
      <c r="BS165" s="14"/>
      <c r="BT165" s="14"/>
      <c r="BU165" s="14"/>
      <c r="BV165" s="14"/>
      <c r="CF165" s="3"/>
      <c r="CG165" s="12"/>
      <c r="CH165" s="12"/>
      <c r="CI165" s="12"/>
      <c r="CJ165" s="12"/>
      <c r="CK165" s="12"/>
      <c r="CL165" s="12"/>
    </row>
    <row r="166" spans="4:90" x14ac:dyDescent="0.3">
      <c r="D166" s="3"/>
      <c r="E166" s="12"/>
      <c r="F166" s="12"/>
      <c r="G166" s="12"/>
      <c r="H166" s="12"/>
      <c r="I166" s="12"/>
      <c r="J166" s="12"/>
      <c r="T166" s="7"/>
      <c r="U166" s="14"/>
      <c r="V166" s="14"/>
      <c r="W166" s="14"/>
      <c r="X166" s="14"/>
      <c r="Y166" s="14"/>
      <c r="Z166" s="14"/>
      <c r="AJ166" s="3"/>
      <c r="AK166" s="12"/>
      <c r="AL166" s="12"/>
      <c r="AM166" s="12"/>
      <c r="AN166" s="12"/>
      <c r="AO166" s="12"/>
      <c r="AP166" s="12"/>
      <c r="AZ166" s="3"/>
      <c r="BA166" s="12"/>
      <c r="BB166" s="12"/>
      <c r="BC166" s="12"/>
      <c r="BD166" s="12"/>
      <c r="BE166" s="12"/>
      <c r="BF166" s="12"/>
      <c r="BP166" s="7"/>
      <c r="BQ166" s="14"/>
      <c r="BR166" s="14"/>
      <c r="BS166" s="14"/>
      <c r="BT166" s="14"/>
      <c r="BU166" s="14"/>
      <c r="BV166" s="14"/>
      <c r="CF166" s="3"/>
      <c r="CG166" s="12"/>
      <c r="CH166" s="12"/>
      <c r="CI166" s="12"/>
      <c r="CJ166" s="12"/>
      <c r="CK166" s="12"/>
      <c r="CL166" s="12"/>
    </row>
    <row r="167" spans="4:90" x14ac:dyDescent="0.3">
      <c r="D167" s="3"/>
      <c r="E167" s="12"/>
      <c r="F167" s="12"/>
      <c r="G167" s="12"/>
      <c r="H167" s="12"/>
      <c r="I167" s="12"/>
      <c r="J167" s="12"/>
      <c r="T167" s="7"/>
      <c r="U167" s="14"/>
      <c r="V167" s="14"/>
      <c r="W167" s="14"/>
      <c r="X167" s="14"/>
      <c r="Y167" s="14"/>
      <c r="Z167" s="14"/>
      <c r="AJ167" s="3"/>
      <c r="AK167" s="12"/>
      <c r="AL167" s="12"/>
      <c r="AM167" s="12"/>
      <c r="AN167" s="12"/>
      <c r="AO167" s="12"/>
      <c r="AP167" s="12"/>
      <c r="AZ167" s="3"/>
      <c r="BA167" s="12"/>
      <c r="BB167" s="12"/>
      <c r="BC167" s="12"/>
      <c r="BD167" s="12"/>
      <c r="BE167" s="12"/>
      <c r="BF167" s="12"/>
      <c r="BP167" s="7"/>
      <c r="BQ167" s="14"/>
      <c r="BR167" s="14"/>
      <c r="BS167" s="14"/>
      <c r="BT167" s="14"/>
      <c r="BU167" s="14"/>
      <c r="BV167" s="14"/>
      <c r="CF167" s="3"/>
      <c r="CG167" s="12"/>
      <c r="CH167" s="12"/>
      <c r="CI167" s="12"/>
      <c r="CJ167" s="12"/>
      <c r="CK167" s="12"/>
      <c r="CL167" s="12"/>
    </row>
    <row r="168" spans="4:90" x14ac:dyDescent="0.3">
      <c r="D168" s="3"/>
      <c r="E168" s="12"/>
      <c r="F168" s="12"/>
      <c r="G168" s="12"/>
      <c r="H168" s="12"/>
      <c r="I168" s="12"/>
      <c r="J168" s="12"/>
      <c r="T168" s="7"/>
      <c r="U168" s="14"/>
      <c r="V168" s="14"/>
      <c r="W168" s="14"/>
      <c r="X168" s="14"/>
      <c r="Y168" s="14"/>
      <c r="Z168" s="14"/>
      <c r="AJ168" s="3"/>
      <c r="AK168" s="12"/>
      <c r="AL168" s="12"/>
      <c r="AM168" s="12"/>
      <c r="AN168" s="12"/>
      <c r="AO168" s="12"/>
      <c r="AP168" s="12"/>
      <c r="AZ168" s="3"/>
      <c r="BA168" s="12"/>
      <c r="BB168" s="12"/>
      <c r="BC168" s="12"/>
      <c r="BD168" s="12"/>
      <c r="BE168" s="12"/>
      <c r="BF168" s="12"/>
      <c r="BP168" s="7"/>
      <c r="BQ168" s="14"/>
      <c r="BR168" s="14"/>
      <c r="BS168" s="14"/>
      <c r="BT168" s="14"/>
      <c r="BU168" s="14"/>
      <c r="BV168" s="14"/>
      <c r="CF168" s="3"/>
      <c r="CG168" s="12"/>
      <c r="CH168" s="12"/>
      <c r="CI168" s="12"/>
      <c r="CJ168" s="12"/>
      <c r="CK168" s="12"/>
      <c r="CL168" s="12"/>
    </row>
    <row r="169" spans="4:90" x14ac:dyDescent="0.3">
      <c r="D169" s="3"/>
      <c r="E169" s="12"/>
      <c r="F169" s="12"/>
      <c r="G169" s="12"/>
      <c r="H169" s="12"/>
      <c r="I169" s="12"/>
      <c r="J169" s="12"/>
      <c r="T169" s="7"/>
      <c r="U169" s="14"/>
      <c r="V169" s="14"/>
      <c r="W169" s="14"/>
      <c r="X169" s="14"/>
      <c r="Y169" s="14"/>
      <c r="Z169" s="14"/>
      <c r="AJ169" s="3"/>
      <c r="AK169" s="12"/>
      <c r="AL169" s="12"/>
      <c r="AM169" s="12"/>
      <c r="AN169" s="12"/>
      <c r="AO169" s="12"/>
      <c r="AP169" s="12"/>
      <c r="AZ169" s="3"/>
      <c r="BA169" s="12"/>
      <c r="BB169" s="12"/>
      <c r="BC169" s="12"/>
      <c r="BD169" s="12"/>
      <c r="BE169" s="12"/>
      <c r="BF169" s="12"/>
      <c r="BP169" s="7"/>
      <c r="BQ169" s="14"/>
      <c r="BR169" s="14"/>
      <c r="BS169" s="14"/>
      <c r="BT169" s="14"/>
      <c r="BU169" s="14"/>
      <c r="BV169" s="14"/>
      <c r="CF169" s="3"/>
      <c r="CG169" s="12"/>
      <c r="CH169" s="12"/>
      <c r="CI169" s="12"/>
      <c r="CJ169" s="12"/>
      <c r="CK169" s="12"/>
      <c r="CL169" s="12"/>
    </row>
    <row r="170" spans="4:90" x14ac:dyDescent="0.3">
      <c r="D170" s="3"/>
      <c r="E170" s="12"/>
      <c r="F170" s="12"/>
      <c r="G170" s="12"/>
      <c r="H170" s="12"/>
      <c r="I170" s="12"/>
      <c r="J170" s="12"/>
      <c r="T170" s="7"/>
      <c r="U170" s="14"/>
      <c r="V170" s="14"/>
      <c r="W170" s="14"/>
      <c r="X170" s="14"/>
      <c r="Y170" s="14"/>
      <c r="Z170" s="14"/>
      <c r="AJ170" s="3"/>
      <c r="AK170" s="12"/>
      <c r="AL170" s="12"/>
      <c r="AM170" s="12"/>
      <c r="AN170" s="12"/>
      <c r="AO170" s="12"/>
      <c r="AP170" s="12"/>
      <c r="AZ170" s="3"/>
      <c r="BA170" s="12"/>
      <c r="BB170" s="12"/>
      <c r="BC170" s="12"/>
      <c r="BD170" s="12"/>
      <c r="BE170" s="12"/>
      <c r="BF170" s="12"/>
      <c r="BP170" s="7"/>
      <c r="BQ170" s="14"/>
      <c r="BR170" s="14"/>
      <c r="BS170" s="14"/>
      <c r="BT170" s="14"/>
      <c r="BU170" s="14"/>
      <c r="BV170" s="14"/>
      <c r="CF170" s="3"/>
      <c r="CG170" s="12"/>
      <c r="CH170" s="12"/>
      <c r="CI170" s="12"/>
      <c r="CJ170" s="12"/>
      <c r="CK170" s="12"/>
      <c r="CL170" s="12"/>
    </row>
    <row r="171" spans="4:90" x14ac:dyDescent="0.3">
      <c r="D171" s="3"/>
      <c r="E171" s="12"/>
      <c r="F171" s="12"/>
      <c r="G171" s="12"/>
      <c r="H171" s="12"/>
      <c r="I171" s="12"/>
      <c r="J171" s="12"/>
      <c r="T171" s="7"/>
      <c r="U171" s="14"/>
      <c r="V171" s="14"/>
      <c r="W171" s="14"/>
      <c r="X171" s="14"/>
      <c r="Y171" s="14"/>
      <c r="Z171" s="14"/>
      <c r="AJ171" s="3"/>
      <c r="AK171" s="12"/>
      <c r="AL171" s="12"/>
      <c r="AM171" s="12"/>
      <c r="AN171" s="12"/>
      <c r="AO171" s="12"/>
      <c r="AP171" s="12"/>
      <c r="AZ171" s="3"/>
      <c r="BA171" s="12"/>
      <c r="BB171" s="12"/>
      <c r="BC171" s="12"/>
      <c r="BD171" s="12"/>
      <c r="BE171" s="12"/>
      <c r="BF171" s="12"/>
      <c r="BP171" s="7"/>
      <c r="BQ171" s="14"/>
      <c r="BR171" s="14"/>
      <c r="BS171" s="14"/>
      <c r="BT171" s="14"/>
      <c r="BU171" s="14"/>
      <c r="BV171" s="14"/>
      <c r="CF171" s="3"/>
      <c r="CG171" s="12"/>
      <c r="CH171" s="12"/>
      <c r="CI171" s="12"/>
      <c r="CJ171" s="12"/>
      <c r="CK171" s="12"/>
      <c r="CL171" s="12"/>
    </row>
    <row r="172" spans="4:90" x14ac:dyDescent="0.3">
      <c r="D172" s="3"/>
      <c r="E172" s="12"/>
      <c r="F172" s="12"/>
      <c r="G172" s="12"/>
      <c r="H172" s="12"/>
      <c r="I172" s="12"/>
      <c r="J172" s="12"/>
      <c r="T172" s="7"/>
      <c r="U172" s="14"/>
      <c r="V172" s="14"/>
      <c r="W172" s="14"/>
      <c r="X172" s="14"/>
      <c r="Y172" s="14"/>
      <c r="Z172" s="14"/>
      <c r="AJ172" s="3"/>
      <c r="AK172" s="12"/>
      <c r="AL172" s="12"/>
      <c r="AM172" s="12"/>
      <c r="AN172" s="12"/>
      <c r="AO172" s="12"/>
      <c r="AP172" s="12"/>
      <c r="AZ172" s="3"/>
      <c r="BA172" s="12"/>
      <c r="BB172" s="12"/>
      <c r="BC172" s="12"/>
      <c r="BD172" s="12"/>
      <c r="BE172" s="12"/>
      <c r="BF172" s="12"/>
      <c r="BP172" s="7"/>
      <c r="BQ172" s="14"/>
      <c r="BR172" s="14"/>
      <c r="BS172" s="14"/>
      <c r="BT172" s="14"/>
      <c r="BU172" s="14"/>
      <c r="BV172" s="14"/>
      <c r="CF172" s="3"/>
      <c r="CG172" s="12"/>
      <c r="CH172" s="12"/>
      <c r="CI172" s="12"/>
      <c r="CJ172" s="12"/>
      <c r="CK172" s="12"/>
      <c r="CL172" s="12"/>
    </row>
    <row r="173" spans="4:90" x14ac:dyDescent="0.3">
      <c r="D173" s="3"/>
      <c r="E173" s="12"/>
      <c r="F173" s="12"/>
      <c r="G173" s="12"/>
      <c r="H173" s="12"/>
      <c r="I173" s="12"/>
      <c r="J173" s="12"/>
      <c r="T173" s="7"/>
      <c r="U173" s="14"/>
      <c r="V173" s="14"/>
      <c r="W173" s="14"/>
      <c r="X173" s="14"/>
      <c r="Y173" s="14"/>
      <c r="Z173" s="14"/>
      <c r="AJ173" s="3"/>
      <c r="AK173" s="12"/>
      <c r="AL173" s="12"/>
      <c r="AM173" s="12"/>
      <c r="AN173" s="12"/>
      <c r="AO173" s="12"/>
      <c r="AP173" s="12"/>
      <c r="AZ173" s="3"/>
      <c r="BA173" s="12"/>
      <c r="BB173" s="12"/>
      <c r="BC173" s="12"/>
      <c r="BD173" s="12"/>
      <c r="BE173" s="12"/>
      <c r="BF173" s="12"/>
      <c r="BP173" s="7"/>
      <c r="BQ173" s="14"/>
      <c r="BR173" s="14"/>
      <c r="BS173" s="14"/>
      <c r="BT173" s="14"/>
      <c r="BU173" s="14"/>
      <c r="BV173" s="14"/>
      <c r="CF173" s="3"/>
      <c r="CG173" s="12"/>
      <c r="CH173" s="12"/>
      <c r="CI173" s="12"/>
      <c r="CJ173" s="12"/>
      <c r="CK173" s="12"/>
      <c r="CL173" s="12"/>
    </row>
    <row r="174" spans="4:90" x14ac:dyDescent="0.3">
      <c r="D174" s="3"/>
      <c r="E174" s="12"/>
      <c r="F174" s="12"/>
      <c r="G174" s="12"/>
      <c r="H174" s="12"/>
      <c r="I174" s="12"/>
      <c r="J174" s="12"/>
      <c r="T174" s="7"/>
      <c r="U174" s="14"/>
      <c r="V174" s="14"/>
      <c r="W174" s="14"/>
      <c r="X174" s="14"/>
      <c r="Y174" s="14"/>
      <c r="Z174" s="14"/>
      <c r="AJ174" s="3"/>
      <c r="AK174" s="12"/>
      <c r="AL174" s="12"/>
      <c r="AM174" s="12"/>
      <c r="AN174" s="12"/>
      <c r="AO174" s="12"/>
      <c r="AP174" s="12"/>
      <c r="AZ174" s="3"/>
      <c r="BA174" s="12"/>
      <c r="BB174" s="12"/>
      <c r="BC174" s="12"/>
      <c r="BD174" s="12"/>
      <c r="BE174" s="12"/>
      <c r="BF174" s="12"/>
      <c r="BP174" s="7"/>
      <c r="BQ174" s="14"/>
      <c r="BR174" s="14"/>
      <c r="BS174" s="14"/>
      <c r="BT174" s="14"/>
      <c r="BU174" s="14"/>
      <c r="BV174" s="14"/>
      <c r="CF174" s="3"/>
      <c r="CG174" s="12"/>
      <c r="CH174" s="12"/>
      <c r="CI174" s="12"/>
      <c r="CJ174" s="12"/>
      <c r="CK174" s="12"/>
      <c r="CL174" s="12"/>
    </row>
    <row r="175" spans="4:90" x14ac:dyDescent="0.3">
      <c r="D175" s="3"/>
      <c r="E175" s="12"/>
      <c r="F175" s="12"/>
      <c r="G175" s="12"/>
      <c r="H175" s="12"/>
      <c r="I175" s="12"/>
      <c r="J175" s="12"/>
      <c r="T175" s="7"/>
      <c r="U175" s="14"/>
      <c r="V175" s="14"/>
      <c r="W175" s="14"/>
      <c r="X175" s="14"/>
      <c r="Y175" s="14"/>
      <c r="Z175" s="14"/>
      <c r="AJ175" s="3"/>
      <c r="AK175" s="12"/>
      <c r="AL175" s="12"/>
      <c r="AM175" s="12"/>
      <c r="AN175" s="12"/>
      <c r="AO175" s="12"/>
      <c r="AP175" s="12"/>
      <c r="AZ175" s="3"/>
      <c r="BA175" s="12"/>
      <c r="BB175" s="12"/>
      <c r="BC175" s="12"/>
      <c r="BD175" s="12"/>
      <c r="BE175" s="12"/>
      <c r="BF175" s="12"/>
      <c r="BP175" s="7"/>
      <c r="BQ175" s="14"/>
      <c r="BR175" s="14"/>
      <c r="BS175" s="14"/>
      <c r="BT175" s="14"/>
      <c r="BU175" s="14"/>
      <c r="BV175" s="14"/>
      <c r="CF175" s="3"/>
      <c r="CG175" s="12"/>
      <c r="CH175" s="12"/>
      <c r="CI175" s="12"/>
      <c r="CJ175" s="12"/>
      <c r="CK175" s="12"/>
      <c r="CL175" s="12"/>
    </row>
    <row r="176" spans="4:90" x14ac:dyDescent="0.3">
      <c r="D176" s="3"/>
      <c r="E176" s="12"/>
      <c r="F176" s="12"/>
      <c r="G176" s="12"/>
      <c r="H176" s="12"/>
      <c r="I176" s="12"/>
      <c r="J176" s="12"/>
      <c r="T176" s="7"/>
      <c r="U176" s="14"/>
      <c r="V176" s="14"/>
      <c r="W176" s="14"/>
      <c r="X176" s="14"/>
      <c r="Y176" s="14"/>
      <c r="Z176" s="14"/>
      <c r="AJ176" s="3"/>
      <c r="AK176" s="12"/>
      <c r="AL176" s="12"/>
      <c r="AM176" s="12"/>
      <c r="AN176" s="12"/>
      <c r="AO176" s="12"/>
      <c r="AP176" s="12"/>
      <c r="AZ176" s="3"/>
      <c r="BA176" s="12"/>
      <c r="BB176" s="12"/>
      <c r="BC176" s="12"/>
      <c r="BD176" s="12"/>
      <c r="BE176" s="12"/>
      <c r="BF176" s="12"/>
      <c r="BP176" s="7"/>
      <c r="BQ176" s="14"/>
      <c r="BR176" s="14"/>
      <c r="BS176" s="14"/>
      <c r="BT176" s="14"/>
      <c r="BU176" s="14"/>
      <c r="BV176" s="14"/>
      <c r="CF176" s="3"/>
      <c r="CG176" s="12"/>
      <c r="CH176" s="12"/>
      <c r="CI176" s="12"/>
      <c r="CJ176" s="12"/>
      <c r="CK176" s="12"/>
      <c r="CL176" s="12"/>
    </row>
    <row r="177" spans="4:90" x14ac:dyDescent="0.3">
      <c r="D177" s="3"/>
      <c r="E177" s="12"/>
      <c r="F177" s="12"/>
      <c r="G177" s="12"/>
      <c r="H177" s="12"/>
      <c r="I177" s="12"/>
      <c r="J177" s="12"/>
      <c r="T177" s="7"/>
      <c r="U177" s="14"/>
      <c r="V177" s="14"/>
      <c r="W177" s="14"/>
      <c r="X177" s="14"/>
      <c r="Y177" s="14"/>
      <c r="Z177" s="14"/>
      <c r="AJ177" s="3"/>
      <c r="AK177" s="12"/>
      <c r="AL177" s="12"/>
      <c r="AM177" s="12"/>
      <c r="AN177" s="12"/>
      <c r="AO177" s="12"/>
      <c r="AP177" s="12"/>
      <c r="AZ177" s="3"/>
      <c r="BA177" s="12"/>
      <c r="BB177" s="12"/>
      <c r="BC177" s="12"/>
      <c r="BD177" s="12"/>
      <c r="BE177" s="12"/>
      <c r="BF177" s="12"/>
      <c r="BP177" s="7"/>
      <c r="BQ177" s="14"/>
      <c r="BR177" s="14"/>
      <c r="BS177" s="14"/>
      <c r="BT177" s="14"/>
      <c r="BU177" s="14"/>
      <c r="BV177" s="14"/>
      <c r="CF177" s="3"/>
      <c r="CG177" s="12"/>
      <c r="CH177" s="12"/>
      <c r="CI177" s="12"/>
      <c r="CJ177" s="12"/>
      <c r="CK177" s="12"/>
      <c r="CL177" s="12"/>
    </row>
    <row r="178" spans="4:90" x14ac:dyDescent="0.3">
      <c r="D178" s="3"/>
      <c r="E178" s="12"/>
      <c r="F178" s="12"/>
      <c r="G178" s="12"/>
      <c r="H178" s="12"/>
      <c r="I178" s="12"/>
      <c r="J178" s="12"/>
      <c r="T178" s="7"/>
      <c r="U178" s="14"/>
      <c r="V178" s="14"/>
      <c r="W178" s="14"/>
      <c r="X178" s="14"/>
      <c r="Y178" s="14"/>
      <c r="Z178" s="14"/>
      <c r="AJ178" s="3"/>
      <c r="AK178" s="12"/>
      <c r="AL178" s="12"/>
      <c r="AM178" s="12"/>
      <c r="AN178" s="12"/>
      <c r="AO178" s="12"/>
      <c r="AP178" s="12"/>
      <c r="AZ178" s="3"/>
      <c r="BA178" s="12"/>
      <c r="BB178" s="12"/>
      <c r="BC178" s="12"/>
      <c r="BD178" s="12"/>
      <c r="BE178" s="12"/>
      <c r="BF178" s="12"/>
      <c r="BP178" s="7"/>
      <c r="BQ178" s="14"/>
      <c r="BR178" s="14"/>
      <c r="BS178" s="14"/>
      <c r="BT178" s="14"/>
      <c r="BU178" s="14"/>
      <c r="BV178" s="14"/>
      <c r="CF178" s="3"/>
      <c r="CG178" s="12"/>
      <c r="CH178" s="12"/>
      <c r="CI178" s="12"/>
      <c r="CJ178" s="12"/>
      <c r="CK178" s="12"/>
      <c r="CL178" s="12"/>
    </row>
    <row r="179" spans="4:90" x14ac:dyDescent="0.3">
      <c r="D179" s="3"/>
      <c r="E179" s="12"/>
      <c r="F179" s="12"/>
      <c r="G179" s="12"/>
      <c r="H179" s="12"/>
      <c r="I179" s="12"/>
      <c r="J179" s="12"/>
      <c r="T179" s="7"/>
      <c r="U179" s="14"/>
      <c r="V179" s="14"/>
      <c r="W179" s="14"/>
      <c r="X179" s="14"/>
      <c r="Y179" s="14"/>
      <c r="Z179" s="14"/>
      <c r="AJ179" s="3"/>
      <c r="AK179" s="12"/>
      <c r="AL179" s="12"/>
      <c r="AM179" s="12"/>
      <c r="AN179" s="12"/>
      <c r="AO179" s="12"/>
      <c r="AP179" s="12"/>
      <c r="AZ179" s="3"/>
      <c r="BA179" s="12"/>
      <c r="BB179" s="12"/>
      <c r="BC179" s="12"/>
      <c r="BD179" s="12"/>
      <c r="BE179" s="12"/>
      <c r="BF179" s="12"/>
      <c r="BP179" s="7"/>
      <c r="BQ179" s="14"/>
      <c r="BR179" s="14"/>
      <c r="BS179" s="14"/>
      <c r="BT179" s="14"/>
      <c r="BU179" s="14"/>
      <c r="BV179" s="14"/>
      <c r="CF179" s="3"/>
      <c r="CG179" s="12"/>
      <c r="CH179" s="12"/>
      <c r="CI179" s="12"/>
      <c r="CJ179" s="12"/>
      <c r="CK179" s="12"/>
      <c r="CL179" s="12"/>
    </row>
    <row r="180" spans="4:90" x14ac:dyDescent="0.3">
      <c r="D180" s="3"/>
      <c r="E180" s="12"/>
      <c r="F180" s="12"/>
      <c r="G180" s="12"/>
      <c r="H180" s="12"/>
      <c r="I180" s="12"/>
      <c r="J180" s="12"/>
      <c r="T180" s="7"/>
      <c r="U180" s="14"/>
      <c r="V180" s="14"/>
      <c r="W180" s="14"/>
      <c r="X180" s="14"/>
      <c r="Y180" s="14"/>
      <c r="Z180" s="14"/>
      <c r="AJ180" s="3"/>
      <c r="AK180" s="12"/>
      <c r="AL180" s="12"/>
      <c r="AM180" s="12"/>
      <c r="AN180" s="12"/>
      <c r="AO180" s="12"/>
      <c r="AP180" s="12"/>
      <c r="AZ180" s="3"/>
      <c r="BA180" s="12"/>
      <c r="BB180" s="12"/>
      <c r="BC180" s="12"/>
      <c r="BD180" s="12"/>
      <c r="BE180" s="12"/>
      <c r="BF180" s="12"/>
      <c r="BP180" s="7"/>
      <c r="BQ180" s="14"/>
      <c r="BR180" s="14"/>
      <c r="BS180" s="14"/>
      <c r="BT180" s="14"/>
      <c r="BU180" s="14"/>
      <c r="BV180" s="14"/>
      <c r="CF180" s="3"/>
      <c r="CG180" s="12"/>
      <c r="CH180" s="12"/>
      <c r="CI180" s="12"/>
      <c r="CJ180" s="12"/>
      <c r="CK180" s="12"/>
      <c r="CL180" s="12"/>
    </row>
    <row r="181" spans="4:90" x14ac:dyDescent="0.3">
      <c r="D181" s="3"/>
      <c r="E181" s="12"/>
      <c r="F181" s="12"/>
      <c r="G181" s="12"/>
      <c r="H181" s="12"/>
      <c r="I181" s="12"/>
      <c r="J181" s="12"/>
      <c r="T181" s="7"/>
      <c r="U181" s="14"/>
      <c r="V181" s="14"/>
      <c r="W181" s="14"/>
      <c r="X181" s="14"/>
      <c r="Y181" s="14"/>
      <c r="Z181" s="14"/>
      <c r="AJ181" s="3"/>
      <c r="AK181" s="12"/>
      <c r="AL181" s="12"/>
      <c r="AM181" s="12"/>
      <c r="AN181" s="12"/>
      <c r="AO181" s="12"/>
      <c r="AP181" s="12"/>
      <c r="AZ181" s="3"/>
      <c r="BA181" s="12"/>
      <c r="BB181" s="12"/>
      <c r="BC181" s="12"/>
      <c r="BD181" s="12"/>
      <c r="BE181" s="12"/>
      <c r="BF181" s="12"/>
      <c r="BP181" s="7"/>
      <c r="BQ181" s="14"/>
      <c r="BR181" s="14"/>
      <c r="BS181" s="14"/>
      <c r="BT181" s="14"/>
      <c r="BU181" s="14"/>
      <c r="BV181" s="14"/>
      <c r="CF181" s="3"/>
      <c r="CG181" s="12"/>
      <c r="CH181" s="12"/>
      <c r="CI181" s="12"/>
      <c r="CJ181" s="12"/>
      <c r="CK181" s="12"/>
      <c r="CL181" s="12"/>
    </row>
    <row r="182" spans="4:90" x14ac:dyDescent="0.3">
      <c r="D182" s="3"/>
      <c r="E182" s="12"/>
      <c r="F182" s="12"/>
      <c r="G182" s="12"/>
      <c r="H182" s="12"/>
      <c r="I182" s="12"/>
      <c r="J182" s="12"/>
      <c r="T182" s="7"/>
      <c r="U182" s="14"/>
      <c r="V182" s="14"/>
      <c r="W182" s="14"/>
      <c r="X182" s="14"/>
      <c r="Y182" s="14"/>
      <c r="Z182" s="14"/>
      <c r="AJ182" s="3"/>
      <c r="AK182" s="12"/>
      <c r="AL182" s="12"/>
      <c r="AM182" s="12"/>
      <c r="AN182" s="12"/>
      <c r="AO182" s="12"/>
      <c r="AP182" s="12"/>
      <c r="AZ182" s="3"/>
      <c r="BA182" s="12"/>
      <c r="BB182" s="12"/>
      <c r="BC182" s="12"/>
      <c r="BD182" s="12"/>
      <c r="BE182" s="12"/>
      <c r="BF182" s="12"/>
      <c r="BP182" s="7"/>
      <c r="BQ182" s="14"/>
      <c r="BR182" s="14"/>
      <c r="BS182" s="14"/>
      <c r="BT182" s="14"/>
      <c r="BU182" s="14"/>
      <c r="BV182" s="14"/>
      <c r="CF182" s="3"/>
      <c r="CG182" s="12"/>
      <c r="CH182" s="12"/>
      <c r="CI182" s="12"/>
      <c r="CJ182" s="12"/>
      <c r="CK182" s="12"/>
      <c r="CL182" s="12"/>
    </row>
    <row r="183" spans="4:90" x14ac:dyDescent="0.3">
      <c r="D183" s="3"/>
      <c r="E183" s="12"/>
      <c r="F183" s="12"/>
      <c r="G183" s="12"/>
      <c r="H183" s="12"/>
      <c r="I183" s="12"/>
      <c r="J183" s="12"/>
      <c r="T183" s="7"/>
      <c r="U183" s="14"/>
      <c r="V183" s="14"/>
      <c r="W183" s="14"/>
      <c r="X183" s="14"/>
      <c r="Y183" s="14"/>
      <c r="Z183" s="14"/>
      <c r="AJ183" s="3"/>
      <c r="AK183" s="12"/>
      <c r="AL183" s="12"/>
      <c r="AM183" s="12"/>
      <c r="AN183" s="12"/>
      <c r="AO183" s="12"/>
      <c r="AP183" s="12"/>
      <c r="AZ183" s="3"/>
      <c r="BA183" s="12"/>
      <c r="BB183" s="12"/>
      <c r="BC183" s="12"/>
      <c r="BD183" s="12"/>
      <c r="BE183" s="12"/>
      <c r="BF183" s="12"/>
      <c r="BP183" s="7"/>
      <c r="BQ183" s="14"/>
      <c r="BR183" s="14"/>
      <c r="BS183" s="14"/>
      <c r="BT183" s="14"/>
      <c r="BU183" s="14"/>
      <c r="BV183" s="14"/>
      <c r="CF183" s="3"/>
      <c r="CG183" s="12"/>
      <c r="CH183" s="12"/>
      <c r="CI183" s="12"/>
      <c r="CJ183" s="12"/>
      <c r="CK183" s="12"/>
      <c r="CL183" s="12"/>
    </row>
    <row r="184" spans="4:90" x14ac:dyDescent="0.3">
      <c r="D184" s="3"/>
      <c r="E184" s="12"/>
      <c r="F184" s="12"/>
      <c r="G184" s="12"/>
      <c r="H184" s="12"/>
      <c r="I184" s="12"/>
      <c r="J184" s="12"/>
      <c r="T184" s="7"/>
      <c r="U184" s="14"/>
      <c r="V184" s="14"/>
      <c r="W184" s="14"/>
      <c r="X184" s="14"/>
      <c r="Y184" s="14"/>
      <c r="Z184" s="14"/>
      <c r="AJ184" s="3"/>
      <c r="AK184" s="12"/>
      <c r="AL184" s="12"/>
      <c r="AM184" s="12"/>
      <c r="AN184" s="12"/>
      <c r="AO184" s="12"/>
      <c r="AP184" s="12"/>
      <c r="AZ184" s="3"/>
      <c r="BA184" s="12"/>
      <c r="BB184" s="12"/>
      <c r="BC184" s="12"/>
      <c r="BD184" s="12"/>
      <c r="BE184" s="12"/>
      <c r="BF184" s="12"/>
      <c r="BP184" s="7"/>
      <c r="BQ184" s="14"/>
      <c r="BR184" s="14"/>
      <c r="BS184" s="14"/>
      <c r="BT184" s="14"/>
      <c r="BU184" s="14"/>
      <c r="BV184" s="14"/>
      <c r="CF184" s="3"/>
      <c r="CG184" s="12"/>
      <c r="CH184" s="12"/>
      <c r="CI184" s="12"/>
      <c r="CJ184" s="12"/>
      <c r="CK184" s="12"/>
      <c r="CL184" s="12"/>
    </row>
    <row r="185" spans="4:90" x14ac:dyDescent="0.3">
      <c r="D185" s="3"/>
      <c r="E185" s="12"/>
      <c r="F185" s="12"/>
      <c r="G185" s="12"/>
      <c r="H185" s="12"/>
      <c r="I185" s="12"/>
      <c r="J185" s="12"/>
      <c r="T185" s="7"/>
      <c r="U185" s="14"/>
      <c r="V185" s="14"/>
      <c r="W185" s="14"/>
      <c r="X185" s="14"/>
      <c r="Y185" s="14"/>
      <c r="Z185" s="14"/>
      <c r="AJ185" s="3"/>
      <c r="AK185" s="12"/>
      <c r="AL185" s="12"/>
      <c r="AM185" s="12"/>
      <c r="AN185" s="12"/>
      <c r="AO185" s="12"/>
      <c r="AP185" s="12"/>
      <c r="AZ185" s="3"/>
      <c r="BA185" s="12"/>
      <c r="BB185" s="12"/>
      <c r="BC185" s="12"/>
      <c r="BD185" s="12"/>
      <c r="BE185" s="12"/>
      <c r="BF185" s="12"/>
      <c r="BP185" s="7"/>
      <c r="BQ185" s="14"/>
      <c r="BR185" s="14"/>
      <c r="BS185" s="14"/>
      <c r="BT185" s="14"/>
      <c r="BU185" s="14"/>
      <c r="BV185" s="14"/>
      <c r="CF185" s="3"/>
      <c r="CG185" s="12"/>
      <c r="CH185" s="12"/>
      <c r="CI185" s="12"/>
      <c r="CJ185" s="12"/>
      <c r="CK185" s="12"/>
      <c r="CL185" s="12"/>
    </row>
    <row r="186" spans="4:90" x14ac:dyDescent="0.3">
      <c r="D186" s="3"/>
      <c r="E186" s="12"/>
      <c r="F186" s="12"/>
      <c r="G186" s="12"/>
      <c r="H186" s="12"/>
      <c r="I186" s="12"/>
      <c r="J186" s="12"/>
      <c r="T186" s="7"/>
      <c r="U186" s="14"/>
      <c r="V186" s="14"/>
      <c r="W186" s="14"/>
      <c r="X186" s="14"/>
      <c r="Y186" s="14"/>
      <c r="Z186" s="14"/>
      <c r="AJ186" s="3"/>
      <c r="AK186" s="12"/>
      <c r="AL186" s="12"/>
      <c r="AM186" s="12"/>
      <c r="AN186" s="12"/>
      <c r="AO186" s="12"/>
      <c r="AP186" s="12"/>
      <c r="AZ186" s="3"/>
      <c r="BA186" s="12"/>
      <c r="BB186" s="12"/>
      <c r="BC186" s="12"/>
      <c r="BD186" s="12"/>
      <c r="BE186" s="12"/>
      <c r="BF186" s="12"/>
      <c r="BP186" s="7"/>
      <c r="BQ186" s="14"/>
      <c r="BR186" s="14"/>
      <c r="BS186" s="14"/>
      <c r="BT186" s="14"/>
      <c r="BU186" s="14"/>
      <c r="BV186" s="14"/>
      <c r="CF186" s="3"/>
      <c r="CG186" s="12"/>
      <c r="CH186" s="12"/>
      <c r="CI186" s="12"/>
      <c r="CJ186" s="12"/>
      <c r="CK186" s="12"/>
      <c r="CL186" s="12"/>
    </row>
    <row r="187" spans="4:90" x14ac:dyDescent="0.3">
      <c r="D187" s="3"/>
      <c r="E187" s="12"/>
      <c r="F187" s="12"/>
      <c r="G187" s="12"/>
      <c r="H187" s="12"/>
      <c r="I187" s="12"/>
      <c r="J187" s="12"/>
      <c r="T187" s="7"/>
      <c r="U187" s="14"/>
      <c r="V187" s="14"/>
      <c r="W187" s="14"/>
      <c r="X187" s="14"/>
      <c r="Y187" s="14"/>
      <c r="Z187" s="14"/>
      <c r="AJ187" s="3"/>
      <c r="AK187" s="12"/>
      <c r="AL187" s="12"/>
      <c r="AM187" s="12"/>
      <c r="AN187" s="12"/>
      <c r="AO187" s="12"/>
      <c r="AP187" s="12"/>
      <c r="AZ187" s="3"/>
      <c r="BA187" s="12"/>
      <c r="BB187" s="12"/>
      <c r="BC187" s="12"/>
      <c r="BD187" s="12"/>
      <c r="BE187" s="12"/>
      <c r="BF187" s="12"/>
      <c r="BP187" s="7"/>
      <c r="BQ187" s="14"/>
      <c r="BR187" s="14"/>
      <c r="BS187" s="14"/>
      <c r="BT187" s="14"/>
      <c r="BU187" s="14"/>
      <c r="BV187" s="14"/>
      <c r="CF187" s="3"/>
      <c r="CG187" s="12"/>
      <c r="CH187" s="12"/>
      <c r="CI187" s="12"/>
      <c r="CJ187" s="12"/>
      <c r="CK187" s="12"/>
      <c r="CL187" s="12"/>
    </row>
    <row r="188" spans="4:90" x14ac:dyDescent="0.3">
      <c r="D188" s="3"/>
      <c r="E188" s="12"/>
      <c r="F188" s="12"/>
      <c r="G188" s="12"/>
      <c r="H188" s="12"/>
      <c r="I188" s="12"/>
      <c r="J188" s="12"/>
      <c r="T188" s="7"/>
      <c r="U188" s="14"/>
      <c r="V188" s="14"/>
      <c r="W188" s="14"/>
      <c r="X188" s="14"/>
      <c r="Y188" s="14"/>
      <c r="Z188" s="14"/>
      <c r="AJ188" s="3"/>
      <c r="AK188" s="12"/>
      <c r="AL188" s="12"/>
      <c r="AM188" s="12"/>
      <c r="AN188" s="12"/>
      <c r="AO188" s="12"/>
      <c r="AP188" s="12"/>
      <c r="AZ188" s="3"/>
      <c r="BA188" s="12"/>
      <c r="BB188" s="12"/>
      <c r="BC188" s="12"/>
      <c r="BD188" s="12"/>
      <c r="BE188" s="12"/>
      <c r="BF188" s="12"/>
      <c r="BP188" s="7"/>
      <c r="BQ188" s="14"/>
      <c r="BR188" s="14"/>
      <c r="BS188" s="14"/>
      <c r="BT188" s="14"/>
      <c r="BU188" s="14"/>
      <c r="BV188" s="14"/>
      <c r="CF188" s="3"/>
      <c r="CG188" s="12"/>
      <c r="CH188" s="12"/>
      <c r="CI188" s="12"/>
      <c r="CJ188" s="12"/>
      <c r="CK188" s="12"/>
      <c r="CL188" s="12"/>
    </row>
    <row r="189" spans="4:90" x14ac:dyDescent="0.3">
      <c r="D189" s="3"/>
      <c r="E189" s="12"/>
      <c r="F189" s="12"/>
      <c r="G189" s="12"/>
      <c r="H189" s="12"/>
      <c r="I189" s="12"/>
      <c r="J189" s="12"/>
      <c r="T189" s="7"/>
      <c r="U189" s="14"/>
      <c r="V189" s="14"/>
      <c r="W189" s="14"/>
      <c r="X189" s="14"/>
      <c r="Y189" s="14"/>
      <c r="Z189" s="14"/>
      <c r="AJ189" s="3"/>
      <c r="AK189" s="12"/>
      <c r="AL189" s="12"/>
      <c r="AM189" s="12"/>
      <c r="AN189" s="12"/>
      <c r="AO189" s="12"/>
      <c r="AP189" s="12"/>
      <c r="AZ189" s="3"/>
      <c r="BA189" s="12"/>
      <c r="BB189" s="12"/>
      <c r="BC189" s="12"/>
      <c r="BD189" s="12"/>
      <c r="BE189" s="12"/>
      <c r="BF189" s="12"/>
      <c r="BP189" s="7"/>
      <c r="BQ189" s="14"/>
      <c r="BR189" s="14"/>
      <c r="BS189" s="14"/>
      <c r="BT189" s="14"/>
      <c r="BU189" s="14"/>
      <c r="BV189" s="14"/>
      <c r="CF189" s="3"/>
      <c r="CG189" s="12"/>
      <c r="CH189" s="12"/>
      <c r="CI189" s="12"/>
      <c r="CJ189" s="12"/>
      <c r="CK189" s="12"/>
      <c r="CL189" s="12"/>
    </row>
    <row r="190" spans="4:90" x14ac:dyDescent="0.3">
      <c r="D190" s="3"/>
      <c r="E190" s="12"/>
      <c r="F190" s="12"/>
      <c r="G190" s="12"/>
      <c r="H190" s="12"/>
      <c r="I190" s="12"/>
      <c r="J190" s="12"/>
      <c r="T190" s="7"/>
      <c r="U190" s="14"/>
      <c r="V190" s="14"/>
      <c r="W190" s="14"/>
      <c r="X190" s="14"/>
      <c r="Y190" s="14"/>
      <c r="Z190" s="14"/>
      <c r="AJ190" s="3"/>
      <c r="AK190" s="12"/>
      <c r="AL190" s="12"/>
      <c r="AM190" s="12"/>
      <c r="AN190" s="12"/>
      <c r="AO190" s="12"/>
      <c r="AP190" s="12"/>
      <c r="AZ190" s="3"/>
      <c r="BA190" s="12"/>
      <c r="BB190" s="12"/>
      <c r="BC190" s="12"/>
      <c r="BD190" s="12"/>
      <c r="BE190" s="12"/>
      <c r="BF190" s="12"/>
      <c r="BP190" s="7"/>
      <c r="BQ190" s="14"/>
      <c r="BR190" s="14"/>
      <c r="BS190" s="14"/>
      <c r="BT190" s="14"/>
      <c r="BU190" s="14"/>
      <c r="BV190" s="14"/>
      <c r="CF190" s="3"/>
      <c r="CG190" s="12"/>
      <c r="CH190" s="12"/>
      <c r="CI190" s="12"/>
      <c r="CJ190" s="12"/>
      <c r="CK190" s="12"/>
      <c r="CL190" s="12"/>
    </row>
    <row r="191" spans="4:90" x14ac:dyDescent="0.3">
      <c r="D191" s="3"/>
      <c r="E191" s="12"/>
      <c r="F191" s="12"/>
      <c r="G191" s="12"/>
      <c r="H191" s="12"/>
      <c r="I191" s="12"/>
      <c r="J191" s="12"/>
      <c r="T191" s="7"/>
      <c r="U191" s="14"/>
      <c r="V191" s="14"/>
      <c r="W191" s="14"/>
      <c r="X191" s="14"/>
      <c r="Y191" s="14"/>
      <c r="Z191" s="14"/>
      <c r="AJ191" s="3"/>
      <c r="AK191" s="12"/>
      <c r="AL191" s="12"/>
      <c r="AM191" s="12"/>
      <c r="AN191" s="12"/>
      <c r="AO191" s="12"/>
      <c r="AP191" s="12"/>
      <c r="AZ191" s="3"/>
      <c r="BA191" s="12"/>
      <c r="BB191" s="12"/>
      <c r="BC191" s="12"/>
      <c r="BD191" s="12"/>
      <c r="BE191" s="12"/>
      <c r="BF191" s="12"/>
      <c r="BP191" s="7"/>
      <c r="BQ191" s="14"/>
      <c r="BR191" s="14"/>
      <c r="BS191" s="14"/>
      <c r="BT191" s="14"/>
      <c r="BU191" s="14"/>
      <c r="BV191" s="14"/>
      <c r="CF191" s="3"/>
      <c r="CG191" s="12"/>
      <c r="CH191" s="12"/>
      <c r="CI191" s="12"/>
      <c r="CJ191" s="12"/>
      <c r="CK191" s="12"/>
      <c r="CL191" s="12"/>
    </row>
    <row r="192" spans="4:90" x14ac:dyDescent="0.3">
      <c r="D192" s="3"/>
      <c r="E192" s="12"/>
      <c r="F192" s="12"/>
      <c r="G192" s="12"/>
      <c r="H192" s="12"/>
      <c r="I192" s="12"/>
      <c r="J192" s="12"/>
      <c r="T192" s="7"/>
      <c r="U192" s="14"/>
      <c r="V192" s="14"/>
      <c r="W192" s="14"/>
      <c r="X192" s="14"/>
      <c r="Y192" s="14"/>
      <c r="Z192" s="14"/>
      <c r="AJ192" s="3"/>
      <c r="AK192" s="12"/>
      <c r="AL192" s="12"/>
      <c r="AM192" s="12"/>
      <c r="AN192" s="12"/>
      <c r="AO192" s="12"/>
      <c r="AP192" s="12"/>
      <c r="AZ192" s="3"/>
      <c r="BA192" s="12"/>
      <c r="BB192" s="12"/>
      <c r="BC192" s="12"/>
      <c r="BD192" s="12"/>
      <c r="BE192" s="12"/>
      <c r="BF192" s="12"/>
      <c r="BP192" s="7"/>
      <c r="BQ192" s="14"/>
      <c r="BR192" s="14"/>
      <c r="BS192" s="14"/>
      <c r="BT192" s="14"/>
      <c r="BU192" s="14"/>
      <c r="BV192" s="14"/>
      <c r="CF192" s="3"/>
      <c r="CG192" s="12"/>
      <c r="CH192" s="12"/>
      <c r="CI192" s="12"/>
      <c r="CJ192" s="12"/>
      <c r="CK192" s="12"/>
      <c r="CL192" s="12"/>
    </row>
    <row r="193" spans="4:90" x14ac:dyDescent="0.3">
      <c r="D193" s="3"/>
      <c r="E193" s="12"/>
      <c r="F193" s="12"/>
      <c r="G193" s="12"/>
      <c r="H193" s="12"/>
      <c r="I193" s="12"/>
      <c r="J193" s="12"/>
      <c r="T193" s="7"/>
      <c r="U193" s="14"/>
      <c r="V193" s="14"/>
      <c r="W193" s="14"/>
      <c r="X193" s="14"/>
      <c r="Y193" s="14"/>
      <c r="Z193" s="14"/>
      <c r="AJ193" s="3"/>
      <c r="AK193" s="12"/>
      <c r="AL193" s="12"/>
      <c r="AM193" s="12"/>
      <c r="AN193" s="12"/>
      <c r="AO193" s="12"/>
      <c r="AP193" s="12"/>
      <c r="AZ193" s="3"/>
      <c r="BA193" s="12"/>
      <c r="BB193" s="12"/>
      <c r="BC193" s="12"/>
      <c r="BD193" s="12"/>
      <c r="BE193" s="12"/>
      <c r="BF193" s="12"/>
      <c r="BP193" s="7"/>
      <c r="BQ193" s="14"/>
      <c r="BR193" s="14"/>
      <c r="BS193" s="14"/>
      <c r="BT193" s="14"/>
      <c r="BU193" s="14"/>
      <c r="BV193" s="14"/>
      <c r="CF193" s="3"/>
      <c r="CG193" s="12"/>
      <c r="CH193" s="12"/>
      <c r="CI193" s="12"/>
      <c r="CJ193" s="12"/>
      <c r="CK193" s="12"/>
      <c r="CL193" s="12"/>
    </row>
    <row r="194" spans="4:90" x14ac:dyDescent="0.3">
      <c r="D194" s="3"/>
      <c r="E194" s="12"/>
      <c r="F194" s="12"/>
      <c r="G194" s="12"/>
      <c r="H194" s="12"/>
      <c r="I194" s="12"/>
      <c r="J194" s="12"/>
      <c r="T194" s="7"/>
      <c r="U194" s="14"/>
      <c r="V194" s="14"/>
      <c r="W194" s="14"/>
      <c r="X194" s="14"/>
      <c r="Y194" s="14"/>
      <c r="Z194" s="14"/>
      <c r="AJ194" s="3"/>
      <c r="AK194" s="12"/>
      <c r="AL194" s="12"/>
      <c r="AM194" s="12"/>
      <c r="AN194" s="12"/>
      <c r="AO194" s="12"/>
      <c r="AP194" s="12"/>
      <c r="AZ194" s="3"/>
      <c r="BA194" s="12"/>
      <c r="BB194" s="12"/>
      <c r="BC194" s="12"/>
      <c r="BD194" s="12"/>
      <c r="BE194" s="12"/>
      <c r="BF194" s="12"/>
      <c r="BP194" s="7"/>
      <c r="BQ194" s="14"/>
      <c r="BR194" s="14"/>
      <c r="BS194" s="14"/>
      <c r="BT194" s="14"/>
      <c r="BU194" s="14"/>
      <c r="BV194" s="14"/>
      <c r="CF194" s="3"/>
      <c r="CG194" s="12"/>
      <c r="CH194" s="12"/>
      <c r="CI194" s="12"/>
      <c r="CJ194" s="12"/>
      <c r="CK194" s="12"/>
      <c r="CL194" s="12"/>
    </row>
    <row r="195" spans="4:90" x14ac:dyDescent="0.3">
      <c r="D195" s="3"/>
      <c r="E195" s="12"/>
      <c r="F195" s="12"/>
      <c r="G195" s="12"/>
      <c r="H195" s="12"/>
      <c r="I195" s="12"/>
      <c r="J195" s="12"/>
      <c r="T195" s="7"/>
      <c r="U195" s="14"/>
      <c r="V195" s="14"/>
      <c r="W195" s="14"/>
      <c r="X195" s="14"/>
      <c r="Y195" s="14"/>
      <c r="Z195" s="14"/>
      <c r="AJ195" s="3"/>
      <c r="AK195" s="12"/>
      <c r="AL195" s="12"/>
      <c r="AM195" s="12"/>
      <c r="AN195" s="12"/>
      <c r="AO195" s="12"/>
      <c r="AP195" s="12"/>
      <c r="AZ195" s="3"/>
      <c r="BA195" s="12"/>
      <c r="BB195" s="12"/>
      <c r="BC195" s="12"/>
      <c r="BD195" s="12"/>
      <c r="BE195" s="12"/>
      <c r="BF195" s="12"/>
      <c r="BP195" s="7"/>
      <c r="BQ195" s="14"/>
      <c r="BR195" s="14"/>
      <c r="BS195" s="14"/>
      <c r="BT195" s="14"/>
      <c r="BU195" s="14"/>
      <c r="BV195" s="14"/>
      <c r="CF195" s="3"/>
      <c r="CG195" s="12"/>
      <c r="CH195" s="12"/>
      <c r="CI195" s="12"/>
      <c r="CJ195" s="12"/>
      <c r="CK195" s="12"/>
      <c r="CL195" s="12"/>
    </row>
    <row r="196" spans="4:90" x14ac:dyDescent="0.3">
      <c r="D196" s="3"/>
      <c r="E196" s="12"/>
      <c r="F196" s="12"/>
      <c r="G196" s="12"/>
      <c r="H196" s="12"/>
      <c r="I196" s="12"/>
      <c r="J196" s="12"/>
      <c r="T196" s="7"/>
      <c r="U196" s="14"/>
      <c r="V196" s="14"/>
      <c r="W196" s="14"/>
      <c r="X196" s="14"/>
      <c r="Y196" s="14"/>
      <c r="Z196" s="14"/>
      <c r="AJ196" s="3"/>
      <c r="AK196" s="12"/>
      <c r="AL196" s="12"/>
      <c r="AM196" s="12"/>
      <c r="AN196" s="12"/>
      <c r="AO196" s="12"/>
      <c r="AP196" s="12"/>
      <c r="AZ196" s="3"/>
      <c r="BA196" s="12"/>
      <c r="BB196" s="12"/>
      <c r="BC196" s="12"/>
      <c r="BD196" s="12"/>
      <c r="BE196" s="12"/>
      <c r="BF196" s="12"/>
      <c r="BP196" s="7"/>
      <c r="BQ196" s="14"/>
      <c r="BR196" s="14"/>
      <c r="BS196" s="14"/>
      <c r="BT196" s="14"/>
      <c r="BU196" s="14"/>
      <c r="BV196" s="14"/>
      <c r="CF196" s="3"/>
      <c r="CG196" s="12"/>
      <c r="CH196" s="12"/>
      <c r="CI196" s="12"/>
      <c r="CJ196" s="12"/>
      <c r="CK196" s="12"/>
      <c r="CL196" s="12"/>
    </row>
    <row r="197" spans="4:90" x14ac:dyDescent="0.3">
      <c r="D197" s="3"/>
      <c r="E197" s="12"/>
      <c r="F197" s="12"/>
      <c r="G197" s="12"/>
      <c r="H197" s="12"/>
      <c r="I197" s="12"/>
      <c r="J197" s="12"/>
      <c r="T197" s="7"/>
      <c r="U197" s="14"/>
      <c r="V197" s="14"/>
      <c r="W197" s="14"/>
      <c r="X197" s="14"/>
      <c r="Y197" s="14"/>
      <c r="Z197" s="14"/>
      <c r="AJ197" s="3"/>
      <c r="AK197" s="12"/>
      <c r="AL197" s="12"/>
      <c r="AM197" s="12"/>
      <c r="AN197" s="12"/>
      <c r="AO197" s="12"/>
      <c r="AP197" s="12"/>
      <c r="AZ197" s="3"/>
      <c r="BA197" s="12"/>
      <c r="BB197" s="12"/>
      <c r="BC197" s="12"/>
      <c r="BD197" s="12"/>
      <c r="BE197" s="12"/>
      <c r="BF197" s="12"/>
      <c r="BP197" s="7"/>
      <c r="BQ197" s="14"/>
      <c r="BR197" s="14"/>
      <c r="BS197" s="14"/>
      <c r="BT197" s="14"/>
      <c r="BU197" s="14"/>
      <c r="BV197" s="14"/>
      <c r="CF197" s="3"/>
      <c r="CG197" s="12"/>
      <c r="CH197" s="12"/>
      <c r="CI197" s="12"/>
      <c r="CJ197" s="12"/>
      <c r="CK197" s="12"/>
      <c r="CL197" s="12"/>
    </row>
    <row r="198" spans="4:90" x14ac:dyDescent="0.3">
      <c r="D198" s="3"/>
      <c r="E198" s="12"/>
      <c r="F198" s="12"/>
      <c r="G198" s="12"/>
      <c r="H198" s="12"/>
      <c r="I198" s="12"/>
      <c r="J198" s="12"/>
      <c r="T198" s="7"/>
      <c r="U198" s="14"/>
      <c r="V198" s="14"/>
      <c r="W198" s="14"/>
      <c r="X198" s="14"/>
      <c r="Y198" s="14"/>
      <c r="Z198" s="14"/>
      <c r="AJ198" s="3"/>
      <c r="AK198" s="12"/>
      <c r="AL198" s="12"/>
      <c r="AM198" s="12"/>
      <c r="AN198" s="12"/>
      <c r="AO198" s="12"/>
      <c r="AP198" s="12"/>
      <c r="AZ198" s="3"/>
      <c r="BA198" s="12"/>
      <c r="BB198" s="12"/>
      <c r="BC198" s="12"/>
      <c r="BD198" s="12"/>
      <c r="BE198" s="12"/>
      <c r="BF198" s="12"/>
      <c r="BP198" s="7"/>
      <c r="BQ198" s="14"/>
      <c r="BR198" s="14"/>
      <c r="BS198" s="14"/>
      <c r="BT198" s="14"/>
      <c r="BU198" s="14"/>
      <c r="BV198" s="14"/>
      <c r="CF198" s="3"/>
      <c r="CG198" s="12"/>
      <c r="CH198" s="12"/>
      <c r="CI198" s="12"/>
      <c r="CJ198" s="12"/>
      <c r="CK198" s="12"/>
      <c r="CL198" s="12"/>
    </row>
    <row r="199" spans="4:90" x14ac:dyDescent="0.3">
      <c r="D199" s="3"/>
      <c r="E199" s="12"/>
      <c r="F199" s="12"/>
      <c r="G199" s="12"/>
      <c r="H199" s="12"/>
      <c r="I199" s="12"/>
      <c r="J199" s="12"/>
      <c r="T199" s="7"/>
      <c r="U199" s="14"/>
      <c r="V199" s="14"/>
      <c r="W199" s="14"/>
      <c r="X199" s="14"/>
      <c r="Y199" s="14"/>
      <c r="Z199" s="14"/>
      <c r="AJ199" s="3"/>
      <c r="AK199" s="12"/>
      <c r="AL199" s="12"/>
      <c r="AM199" s="12"/>
      <c r="AN199" s="12"/>
      <c r="AO199" s="12"/>
      <c r="AP199" s="12"/>
      <c r="AZ199" s="3"/>
      <c r="BA199" s="12"/>
      <c r="BB199" s="12"/>
      <c r="BC199" s="12"/>
      <c r="BD199" s="12"/>
      <c r="BE199" s="12"/>
      <c r="BF199" s="12"/>
      <c r="BP199" s="7"/>
      <c r="BQ199" s="14"/>
      <c r="BR199" s="14"/>
      <c r="BS199" s="14"/>
      <c r="BT199" s="14"/>
      <c r="BU199" s="14"/>
      <c r="BV199" s="14"/>
      <c r="CF199" s="3"/>
      <c r="CG199" s="12"/>
      <c r="CH199" s="12"/>
      <c r="CI199" s="12"/>
      <c r="CJ199" s="12"/>
      <c r="CK199" s="12"/>
      <c r="CL199" s="12"/>
    </row>
    <row r="200" spans="4:90" x14ac:dyDescent="0.3">
      <c r="D200" s="3"/>
      <c r="E200" s="12"/>
      <c r="F200" s="12"/>
      <c r="G200" s="12"/>
      <c r="H200" s="12"/>
      <c r="I200" s="12"/>
      <c r="J200" s="12"/>
      <c r="T200" s="7"/>
      <c r="U200" s="14"/>
      <c r="V200" s="14"/>
      <c r="W200" s="14"/>
      <c r="X200" s="14"/>
      <c r="Y200" s="14"/>
      <c r="Z200" s="14"/>
      <c r="AJ200" s="3"/>
      <c r="AK200" s="12"/>
      <c r="AL200" s="12"/>
      <c r="AM200" s="12"/>
      <c r="AN200" s="12"/>
      <c r="AO200" s="12"/>
      <c r="AP200" s="12"/>
      <c r="AZ200" s="3"/>
      <c r="BA200" s="12"/>
      <c r="BB200" s="12"/>
      <c r="BC200" s="12"/>
      <c r="BD200" s="12"/>
      <c r="BE200" s="12"/>
      <c r="BF200" s="12"/>
      <c r="BP200" s="7"/>
      <c r="BQ200" s="14"/>
      <c r="BR200" s="14"/>
      <c r="BS200" s="14"/>
      <c r="BT200" s="14"/>
      <c r="BU200" s="14"/>
      <c r="BV200" s="14"/>
      <c r="CF200" s="3"/>
      <c r="CG200" s="12"/>
      <c r="CH200" s="12"/>
      <c r="CI200" s="12"/>
      <c r="CJ200" s="12"/>
      <c r="CK200" s="12"/>
      <c r="CL200" s="12"/>
    </row>
    <row r="201" spans="4:90" x14ac:dyDescent="0.3">
      <c r="D201" s="3"/>
      <c r="E201" s="12"/>
      <c r="F201" s="12"/>
      <c r="G201" s="12"/>
      <c r="H201" s="12"/>
      <c r="I201" s="12"/>
      <c r="J201" s="12"/>
      <c r="T201" s="7"/>
      <c r="U201" s="14"/>
      <c r="V201" s="14"/>
      <c r="W201" s="14"/>
      <c r="X201" s="14"/>
      <c r="Y201" s="14"/>
      <c r="Z201" s="14"/>
      <c r="AJ201" s="3"/>
      <c r="AK201" s="12"/>
      <c r="AL201" s="12"/>
      <c r="AM201" s="12"/>
      <c r="AN201" s="12"/>
      <c r="AO201" s="12"/>
      <c r="AP201" s="12"/>
      <c r="AZ201" s="3"/>
      <c r="BA201" s="12"/>
      <c r="BB201" s="12"/>
      <c r="BC201" s="12"/>
      <c r="BD201" s="12"/>
      <c r="BE201" s="12"/>
      <c r="BF201" s="12"/>
      <c r="BP201" s="7"/>
      <c r="BQ201" s="14"/>
      <c r="BR201" s="14"/>
      <c r="BS201" s="14"/>
      <c r="BT201" s="14"/>
      <c r="BU201" s="14"/>
      <c r="BV201" s="14"/>
      <c r="CF201" s="3"/>
      <c r="CG201" s="12"/>
      <c r="CH201" s="12"/>
      <c r="CI201" s="12"/>
      <c r="CJ201" s="12"/>
      <c r="CK201" s="12"/>
      <c r="CL201" s="12"/>
    </row>
    <row r="202" spans="4:90" x14ac:dyDescent="0.3">
      <c r="D202" s="3"/>
      <c r="E202" s="12"/>
      <c r="F202" s="12"/>
      <c r="G202" s="12"/>
      <c r="H202" s="12"/>
      <c r="I202" s="12"/>
      <c r="J202" s="12"/>
      <c r="T202" s="7"/>
      <c r="U202" s="14"/>
      <c r="V202" s="14"/>
      <c r="W202" s="14"/>
      <c r="X202" s="14"/>
      <c r="Y202" s="14"/>
      <c r="Z202" s="14"/>
      <c r="AJ202" s="3"/>
      <c r="AK202" s="12"/>
      <c r="AL202" s="12"/>
      <c r="AM202" s="12"/>
      <c r="AN202" s="12"/>
      <c r="AO202" s="12"/>
      <c r="AP202" s="12"/>
      <c r="AZ202" s="3"/>
      <c r="BA202" s="12"/>
      <c r="BB202" s="12"/>
      <c r="BC202" s="12"/>
      <c r="BD202" s="12"/>
      <c r="BE202" s="12"/>
      <c r="BF202" s="12"/>
      <c r="BP202" s="7"/>
      <c r="BQ202" s="14"/>
      <c r="BR202" s="14"/>
      <c r="BS202" s="14"/>
      <c r="BT202" s="14"/>
      <c r="BU202" s="14"/>
      <c r="BV202" s="14"/>
      <c r="CF202" s="3"/>
      <c r="CG202" s="12"/>
      <c r="CH202" s="12"/>
      <c r="CI202" s="12"/>
      <c r="CJ202" s="12"/>
      <c r="CK202" s="12"/>
      <c r="CL202" s="12"/>
    </row>
    <row r="203" spans="4:90" x14ac:dyDescent="0.3">
      <c r="D203" s="3"/>
      <c r="E203" s="12"/>
      <c r="F203" s="12"/>
      <c r="G203" s="12"/>
      <c r="H203" s="12"/>
      <c r="I203" s="12"/>
      <c r="J203" s="12"/>
      <c r="T203" s="7"/>
      <c r="U203" s="14"/>
      <c r="V203" s="14"/>
      <c r="W203" s="14"/>
      <c r="X203" s="14"/>
      <c r="Y203" s="14"/>
      <c r="Z203" s="14"/>
      <c r="AJ203" s="3"/>
      <c r="AK203" s="12"/>
      <c r="AL203" s="12"/>
      <c r="AM203" s="12"/>
      <c r="AN203" s="12"/>
      <c r="AO203" s="12"/>
      <c r="AP203" s="12"/>
      <c r="AZ203" s="3"/>
      <c r="BA203" s="12"/>
      <c r="BB203" s="12"/>
      <c r="BC203" s="12"/>
      <c r="BD203" s="12"/>
      <c r="BE203" s="12"/>
      <c r="BF203" s="12"/>
      <c r="BP203" s="7"/>
      <c r="BQ203" s="14"/>
      <c r="BR203" s="14"/>
      <c r="BS203" s="14"/>
      <c r="BT203" s="14"/>
      <c r="BU203" s="14"/>
      <c r="BV203" s="14"/>
      <c r="CF203" s="3"/>
      <c r="CG203" s="12"/>
      <c r="CH203" s="12"/>
      <c r="CI203" s="12"/>
      <c r="CJ203" s="12"/>
      <c r="CK203" s="12"/>
      <c r="CL203" s="12"/>
    </row>
    <row r="204" spans="4:90" x14ac:dyDescent="0.3">
      <c r="D204" s="3"/>
      <c r="E204" s="12"/>
      <c r="F204" s="12"/>
      <c r="G204" s="12"/>
      <c r="H204" s="12"/>
      <c r="I204" s="12"/>
      <c r="J204" s="12"/>
      <c r="T204" s="7"/>
      <c r="U204" s="14"/>
      <c r="V204" s="14"/>
      <c r="W204" s="14"/>
      <c r="X204" s="14"/>
      <c r="Y204" s="14"/>
      <c r="Z204" s="14"/>
      <c r="AJ204" s="3"/>
      <c r="AK204" s="12"/>
      <c r="AL204" s="12"/>
      <c r="AM204" s="12"/>
      <c r="AN204" s="12"/>
      <c r="AO204" s="12"/>
      <c r="AP204" s="12"/>
      <c r="AZ204" s="3"/>
      <c r="BA204" s="12"/>
      <c r="BB204" s="12"/>
      <c r="BC204" s="12"/>
      <c r="BD204" s="12"/>
      <c r="BE204" s="12"/>
      <c r="BF204" s="12"/>
      <c r="BP204" s="7"/>
      <c r="BQ204" s="14"/>
      <c r="BR204" s="14"/>
      <c r="BS204" s="14"/>
      <c r="BT204" s="14"/>
      <c r="BU204" s="14"/>
      <c r="BV204" s="14"/>
      <c r="CF204" s="3"/>
      <c r="CG204" s="12"/>
      <c r="CH204" s="12"/>
      <c r="CI204" s="12"/>
      <c r="CJ204" s="12"/>
      <c r="CK204" s="12"/>
      <c r="CL204" s="12"/>
    </row>
    <row r="205" spans="4:90" x14ac:dyDescent="0.3">
      <c r="D205" s="3"/>
      <c r="E205" s="12"/>
      <c r="F205" s="12"/>
      <c r="G205" s="12"/>
      <c r="H205" s="12"/>
      <c r="I205" s="12"/>
      <c r="J205" s="12"/>
      <c r="T205" s="7"/>
      <c r="U205" s="14"/>
      <c r="V205" s="14"/>
      <c r="W205" s="14"/>
      <c r="X205" s="14"/>
      <c r="Y205" s="14"/>
      <c r="Z205" s="14"/>
      <c r="AJ205" s="3"/>
      <c r="AK205" s="12"/>
      <c r="AL205" s="12"/>
      <c r="AM205" s="12"/>
      <c r="AN205" s="12"/>
      <c r="AO205" s="12"/>
      <c r="AP205" s="12"/>
      <c r="AZ205" s="3"/>
      <c r="BA205" s="12"/>
      <c r="BB205" s="12"/>
      <c r="BC205" s="12"/>
      <c r="BD205" s="12"/>
      <c r="BE205" s="12"/>
      <c r="BF205" s="12"/>
      <c r="BP205" s="7"/>
      <c r="BQ205" s="14"/>
      <c r="BR205" s="14"/>
      <c r="BS205" s="14"/>
      <c r="BT205" s="14"/>
      <c r="BU205" s="14"/>
      <c r="BV205" s="14"/>
      <c r="CF205" s="3"/>
      <c r="CG205" s="12"/>
      <c r="CH205" s="12"/>
      <c r="CI205" s="12"/>
      <c r="CJ205" s="12"/>
      <c r="CK205" s="12"/>
      <c r="CL205" s="12"/>
    </row>
    <row r="206" spans="4:90" x14ac:dyDescent="0.3">
      <c r="D206" s="3"/>
      <c r="E206" s="12"/>
      <c r="F206" s="12"/>
      <c r="G206" s="12"/>
      <c r="H206" s="12"/>
      <c r="I206" s="12"/>
      <c r="J206" s="12"/>
      <c r="T206" s="7"/>
      <c r="U206" s="14"/>
      <c r="V206" s="14"/>
      <c r="W206" s="14"/>
      <c r="X206" s="14"/>
      <c r="Y206" s="14"/>
      <c r="Z206" s="14"/>
      <c r="AJ206" s="3"/>
      <c r="AK206" s="12"/>
      <c r="AL206" s="12"/>
      <c r="AM206" s="12"/>
      <c r="AN206" s="12"/>
      <c r="AO206" s="12"/>
      <c r="AP206" s="12"/>
      <c r="AZ206" s="3"/>
      <c r="BA206" s="12"/>
      <c r="BB206" s="12"/>
      <c r="BC206" s="12"/>
      <c r="BD206" s="12"/>
      <c r="BE206" s="12"/>
      <c r="BF206" s="12"/>
      <c r="BP206" s="7"/>
      <c r="BQ206" s="14"/>
      <c r="BR206" s="14"/>
      <c r="BS206" s="14"/>
      <c r="BT206" s="14"/>
      <c r="BU206" s="14"/>
      <c r="BV206" s="14"/>
      <c r="CF206" s="3"/>
      <c r="CG206" s="12"/>
      <c r="CH206" s="12"/>
      <c r="CI206" s="12"/>
      <c r="CJ206" s="12"/>
      <c r="CK206" s="12"/>
      <c r="CL206" s="12"/>
    </row>
    <row r="207" spans="4:90" x14ac:dyDescent="0.3">
      <c r="D207" s="3"/>
      <c r="E207" s="12"/>
      <c r="F207" s="12"/>
      <c r="G207" s="12"/>
      <c r="H207" s="12"/>
      <c r="I207" s="12"/>
      <c r="J207" s="12"/>
      <c r="T207" s="7"/>
      <c r="U207" s="14"/>
      <c r="V207" s="14"/>
      <c r="W207" s="14"/>
      <c r="X207" s="14"/>
      <c r="Y207" s="14"/>
      <c r="Z207" s="14"/>
      <c r="AJ207" s="3"/>
      <c r="AK207" s="12"/>
      <c r="AL207" s="12"/>
      <c r="AM207" s="12"/>
      <c r="AN207" s="12"/>
      <c r="AO207" s="12"/>
      <c r="AP207" s="12"/>
      <c r="AZ207" s="3"/>
      <c r="BA207" s="12"/>
      <c r="BB207" s="12"/>
      <c r="BC207" s="12"/>
      <c r="BD207" s="12"/>
      <c r="BE207" s="12"/>
      <c r="BF207" s="12"/>
      <c r="BP207" s="7"/>
      <c r="BQ207" s="14"/>
      <c r="BR207" s="14"/>
      <c r="BS207" s="14"/>
      <c r="BT207" s="14"/>
      <c r="BU207" s="14"/>
      <c r="BV207" s="14"/>
      <c r="CF207" s="3"/>
      <c r="CG207" s="12"/>
      <c r="CH207" s="12"/>
      <c r="CI207" s="12"/>
      <c r="CJ207" s="12"/>
      <c r="CK207" s="12"/>
      <c r="CL207" s="12"/>
    </row>
    <row r="208" spans="4:90" x14ac:dyDescent="0.3">
      <c r="D208" s="3"/>
      <c r="E208" s="12"/>
      <c r="F208" s="12"/>
      <c r="G208" s="12"/>
      <c r="H208" s="12"/>
      <c r="I208" s="12"/>
      <c r="J208" s="12"/>
      <c r="T208" s="7"/>
      <c r="U208" s="14"/>
      <c r="V208" s="14"/>
      <c r="W208" s="14"/>
      <c r="X208" s="14"/>
      <c r="Y208" s="14"/>
      <c r="Z208" s="14"/>
      <c r="AJ208" s="3"/>
      <c r="AK208" s="12"/>
      <c r="AL208" s="12"/>
      <c r="AM208" s="12"/>
      <c r="AN208" s="12"/>
      <c r="AO208" s="12"/>
      <c r="AP208" s="12"/>
      <c r="AZ208" s="3"/>
      <c r="BA208" s="12"/>
      <c r="BB208" s="12"/>
      <c r="BC208" s="12"/>
      <c r="BD208" s="12"/>
      <c r="BE208" s="12"/>
      <c r="BF208" s="12"/>
      <c r="BP208" s="7"/>
      <c r="BQ208" s="14"/>
      <c r="BR208" s="14"/>
      <c r="BS208" s="14"/>
      <c r="BT208" s="14"/>
      <c r="BU208" s="14"/>
      <c r="BV208" s="14"/>
      <c r="CF208" s="3"/>
      <c r="CG208" s="12"/>
      <c r="CH208" s="12"/>
      <c r="CI208" s="12"/>
      <c r="CJ208" s="12"/>
      <c r="CK208" s="12"/>
      <c r="CL208" s="12"/>
    </row>
    <row r="209" spans="4:90" x14ac:dyDescent="0.3">
      <c r="D209" s="3"/>
      <c r="E209" s="12"/>
      <c r="F209" s="12"/>
      <c r="G209" s="12"/>
      <c r="H209" s="12"/>
      <c r="I209" s="12"/>
      <c r="J209" s="12"/>
      <c r="T209" s="7"/>
      <c r="U209" s="14"/>
      <c r="V209" s="14"/>
      <c r="W209" s="14"/>
      <c r="X209" s="14"/>
      <c r="Y209" s="14"/>
      <c r="Z209" s="14"/>
      <c r="AJ209" s="3"/>
      <c r="AK209" s="12"/>
      <c r="AL209" s="12"/>
      <c r="AM209" s="12"/>
      <c r="AN209" s="12"/>
      <c r="AO209" s="12"/>
      <c r="AP209" s="12"/>
      <c r="AZ209" s="3"/>
      <c r="BA209" s="12"/>
      <c r="BB209" s="12"/>
      <c r="BC209" s="12"/>
      <c r="BD209" s="12"/>
      <c r="BE209" s="12"/>
      <c r="BF209" s="12"/>
      <c r="BP209" s="7"/>
      <c r="BQ209" s="14"/>
      <c r="BR209" s="14"/>
      <c r="BS209" s="14"/>
      <c r="BT209" s="14"/>
      <c r="BU209" s="14"/>
      <c r="BV209" s="14"/>
      <c r="CF209" s="3"/>
      <c r="CG209" s="12"/>
      <c r="CH209" s="12"/>
      <c r="CI209" s="12"/>
      <c r="CJ209" s="12"/>
      <c r="CK209" s="12"/>
      <c r="CL209" s="12"/>
    </row>
    <row r="210" spans="4:90" x14ac:dyDescent="0.3">
      <c r="D210" s="3"/>
      <c r="E210" s="12"/>
      <c r="F210" s="12"/>
      <c r="G210" s="12"/>
      <c r="H210" s="12"/>
      <c r="I210" s="12"/>
      <c r="J210" s="12"/>
      <c r="T210" s="7"/>
      <c r="U210" s="14"/>
      <c r="V210" s="14"/>
      <c r="W210" s="14"/>
      <c r="X210" s="14"/>
      <c r="Y210" s="14"/>
      <c r="Z210" s="14"/>
      <c r="AJ210" s="3"/>
      <c r="AK210" s="12"/>
      <c r="AL210" s="12"/>
      <c r="AM210" s="12"/>
      <c r="AN210" s="12"/>
      <c r="AO210" s="12"/>
      <c r="AP210" s="12"/>
      <c r="AZ210" s="3"/>
      <c r="BA210" s="12"/>
      <c r="BB210" s="12"/>
      <c r="BC210" s="12"/>
      <c r="BD210" s="12"/>
      <c r="BE210" s="12"/>
      <c r="BF210" s="12"/>
      <c r="BP210" s="7"/>
      <c r="BQ210" s="14"/>
      <c r="BR210" s="14"/>
      <c r="BS210" s="14"/>
      <c r="BT210" s="14"/>
      <c r="BU210" s="14"/>
      <c r="BV210" s="14"/>
      <c r="CF210" s="3"/>
      <c r="CG210" s="12"/>
      <c r="CH210" s="12"/>
      <c r="CI210" s="12"/>
      <c r="CJ210" s="12"/>
      <c r="CK210" s="12"/>
      <c r="CL210" s="12"/>
    </row>
    <row r="211" spans="4:90" x14ac:dyDescent="0.3">
      <c r="D211" s="3"/>
      <c r="E211" s="12"/>
      <c r="F211" s="12"/>
      <c r="G211" s="12"/>
      <c r="H211" s="12"/>
      <c r="I211" s="12"/>
      <c r="J211" s="12"/>
      <c r="T211" s="7"/>
      <c r="U211" s="14"/>
      <c r="V211" s="14"/>
      <c r="W211" s="14"/>
      <c r="X211" s="14"/>
      <c r="Y211" s="14"/>
      <c r="Z211" s="14"/>
      <c r="AJ211" s="3"/>
      <c r="AK211" s="12"/>
      <c r="AL211" s="12"/>
      <c r="AM211" s="12"/>
      <c r="AN211" s="12"/>
      <c r="AO211" s="12"/>
      <c r="AP211" s="12"/>
      <c r="AZ211" s="3"/>
      <c r="BA211" s="12"/>
      <c r="BB211" s="12"/>
      <c r="BC211" s="12"/>
      <c r="BD211" s="12"/>
      <c r="BE211" s="12"/>
      <c r="BF211" s="12"/>
      <c r="BP211" s="7"/>
      <c r="BQ211" s="14"/>
      <c r="BR211" s="14"/>
      <c r="BS211" s="14"/>
      <c r="BT211" s="14"/>
      <c r="BU211" s="14"/>
      <c r="BV211" s="14"/>
      <c r="CF211" s="3"/>
      <c r="CG211" s="12"/>
      <c r="CH211" s="12"/>
      <c r="CI211" s="12"/>
      <c r="CJ211" s="12"/>
      <c r="CK211" s="12"/>
      <c r="CL211" s="12"/>
    </row>
    <row r="212" spans="4:90" x14ac:dyDescent="0.3">
      <c r="D212" s="3"/>
      <c r="E212" s="12"/>
      <c r="F212" s="12"/>
      <c r="G212" s="12"/>
      <c r="H212" s="12"/>
      <c r="I212" s="12"/>
      <c r="J212" s="12"/>
      <c r="T212" s="7"/>
      <c r="U212" s="14"/>
      <c r="V212" s="14"/>
      <c r="W212" s="14"/>
      <c r="X212" s="14"/>
      <c r="Y212" s="14"/>
      <c r="Z212" s="14"/>
      <c r="AJ212" s="3"/>
      <c r="AK212" s="12"/>
      <c r="AL212" s="12"/>
      <c r="AM212" s="12"/>
      <c r="AN212" s="12"/>
      <c r="AO212" s="12"/>
      <c r="AP212" s="12"/>
      <c r="AZ212" s="3"/>
      <c r="BA212" s="12"/>
      <c r="BB212" s="12"/>
      <c r="BC212" s="12"/>
      <c r="BD212" s="12"/>
      <c r="BE212" s="12"/>
      <c r="BF212" s="12"/>
      <c r="BP212" s="7"/>
      <c r="BQ212" s="14"/>
      <c r="BR212" s="14"/>
      <c r="BS212" s="14"/>
      <c r="BT212" s="14"/>
      <c r="BU212" s="14"/>
      <c r="BV212" s="14"/>
      <c r="CF212" s="3"/>
      <c r="CG212" s="12"/>
      <c r="CH212" s="12"/>
      <c r="CI212" s="12"/>
      <c r="CJ212" s="12"/>
      <c r="CK212" s="12"/>
      <c r="CL212" s="12"/>
    </row>
    <row r="213" spans="4:90" x14ac:dyDescent="0.3">
      <c r="D213" s="3"/>
      <c r="E213" s="12"/>
      <c r="F213" s="12"/>
      <c r="G213" s="12"/>
      <c r="H213" s="12"/>
      <c r="I213" s="12"/>
      <c r="J213" s="12"/>
      <c r="T213" s="7"/>
      <c r="U213" s="14"/>
      <c r="V213" s="14"/>
      <c r="W213" s="14"/>
      <c r="X213" s="14"/>
      <c r="Y213" s="14"/>
      <c r="Z213" s="14"/>
      <c r="AJ213" s="3"/>
      <c r="AK213" s="12"/>
      <c r="AL213" s="12"/>
      <c r="AM213" s="12"/>
      <c r="AN213" s="12"/>
      <c r="AO213" s="12"/>
      <c r="AP213" s="12"/>
      <c r="AZ213" s="3"/>
      <c r="BA213" s="12"/>
      <c r="BB213" s="12"/>
      <c r="BC213" s="12"/>
      <c r="BD213" s="12"/>
      <c r="BE213" s="12"/>
      <c r="BF213" s="12"/>
      <c r="BP213" s="7"/>
      <c r="BQ213" s="14"/>
      <c r="BR213" s="14"/>
      <c r="BS213" s="14"/>
      <c r="BT213" s="14"/>
      <c r="BU213" s="14"/>
      <c r="BV213" s="14"/>
      <c r="CF213" s="3"/>
      <c r="CG213" s="12"/>
      <c r="CH213" s="12"/>
      <c r="CI213" s="12"/>
      <c r="CJ213" s="12"/>
      <c r="CK213" s="12"/>
      <c r="CL213" s="12"/>
    </row>
    <row r="214" spans="4:90" x14ac:dyDescent="0.3">
      <c r="D214" s="3"/>
      <c r="E214" s="12"/>
      <c r="F214" s="12"/>
      <c r="G214" s="12"/>
      <c r="H214" s="12"/>
      <c r="I214" s="12"/>
      <c r="J214" s="12"/>
      <c r="T214" s="7"/>
      <c r="U214" s="14"/>
      <c r="V214" s="14"/>
      <c r="W214" s="14"/>
      <c r="X214" s="14"/>
      <c r="Y214" s="14"/>
      <c r="Z214" s="14"/>
      <c r="AJ214" s="3"/>
      <c r="AK214" s="12"/>
      <c r="AL214" s="12"/>
      <c r="AM214" s="12"/>
      <c r="AN214" s="12"/>
      <c r="AO214" s="12"/>
      <c r="AP214" s="12"/>
      <c r="AZ214" s="3"/>
      <c r="BA214" s="12"/>
      <c r="BB214" s="12"/>
      <c r="BC214" s="12"/>
      <c r="BD214" s="12"/>
      <c r="BE214" s="12"/>
      <c r="BF214" s="12"/>
      <c r="BP214" s="7"/>
      <c r="BQ214" s="14"/>
      <c r="BR214" s="14"/>
      <c r="BS214" s="14"/>
      <c r="BT214" s="14"/>
      <c r="BU214" s="14"/>
      <c r="BV214" s="14"/>
      <c r="CF214" s="3"/>
      <c r="CG214" s="12"/>
      <c r="CH214" s="12"/>
      <c r="CI214" s="12"/>
      <c r="CJ214" s="12"/>
      <c r="CK214" s="12"/>
      <c r="CL214" s="12"/>
    </row>
    <row r="215" spans="4:90" x14ac:dyDescent="0.3">
      <c r="D215" s="3"/>
      <c r="E215" s="12"/>
      <c r="F215" s="12"/>
      <c r="G215" s="12"/>
      <c r="H215" s="12"/>
      <c r="I215" s="12"/>
      <c r="J215" s="12"/>
      <c r="T215" s="7"/>
      <c r="U215" s="14"/>
      <c r="V215" s="14"/>
      <c r="W215" s="14"/>
      <c r="X215" s="14"/>
      <c r="Y215" s="14"/>
      <c r="Z215" s="14"/>
      <c r="AJ215" s="3"/>
      <c r="AK215" s="12"/>
      <c r="AL215" s="12"/>
      <c r="AM215" s="12"/>
      <c r="AN215" s="12"/>
      <c r="AO215" s="12"/>
      <c r="AP215" s="12"/>
      <c r="AZ215" s="3"/>
      <c r="BA215" s="12"/>
      <c r="BB215" s="12"/>
      <c r="BC215" s="12"/>
      <c r="BD215" s="12"/>
      <c r="BE215" s="12"/>
      <c r="BF215" s="12"/>
      <c r="BP215" s="7"/>
      <c r="BQ215" s="14"/>
      <c r="BR215" s="14"/>
      <c r="BS215" s="14"/>
      <c r="BT215" s="14"/>
      <c r="BU215" s="14"/>
      <c r="BV215" s="14"/>
      <c r="CF215" s="3"/>
      <c r="CG215" s="12"/>
      <c r="CH215" s="12"/>
      <c r="CI215" s="12"/>
      <c r="CJ215" s="12"/>
      <c r="CK215" s="12"/>
      <c r="CL215" s="12"/>
    </row>
    <row r="216" spans="4:90" x14ac:dyDescent="0.3">
      <c r="D216" s="3"/>
      <c r="E216" s="12"/>
      <c r="F216" s="12"/>
      <c r="G216" s="12"/>
      <c r="H216" s="12"/>
      <c r="I216" s="12"/>
      <c r="J216" s="12"/>
      <c r="T216" s="7"/>
      <c r="U216" s="14"/>
      <c r="V216" s="14"/>
      <c r="W216" s="14"/>
      <c r="X216" s="14"/>
      <c r="Y216" s="14"/>
      <c r="Z216" s="14"/>
      <c r="AJ216" s="3"/>
      <c r="AK216" s="12"/>
      <c r="AL216" s="12"/>
      <c r="AM216" s="12"/>
      <c r="AN216" s="12"/>
      <c r="AO216" s="12"/>
      <c r="AP216" s="12"/>
      <c r="AZ216" s="3"/>
      <c r="BA216" s="12"/>
      <c r="BB216" s="12"/>
      <c r="BC216" s="12"/>
      <c r="BD216" s="12"/>
      <c r="BE216" s="12"/>
      <c r="BF216" s="12"/>
      <c r="BP216" s="7"/>
      <c r="BQ216" s="14"/>
      <c r="BR216" s="14"/>
      <c r="BS216" s="14"/>
      <c r="BT216" s="14"/>
      <c r="BU216" s="14"/>
      <c r="BV216" s="14"/>
      <c r="CF216" s="3"/>
      <c r="CG216" s="12"/>
      <c r="CH216" s="12"/>
      <c r="CI216" s="12"/>
      <c r="CJ216" s="12"/>
      <c r="CK216" s="12"/>
      <c r="CL216" s="12"/>
    </row>
    <row r="217" spans="4:90" x14ac:dyDescent="0.3">
      <c r="D217" s="3"/>
      <c r="E217" s="12"/>
      <c r="F217" s="12"/>
      <c r="G217" s="12"/>
      <c r="H217" s="12"/>
      <c r="I217" s="12"/>
      <c r="J217" s="12"/>
      <c r="T217" s="7"/>
      <c r="U217" s="14"/>
      <c r="V217" s="14"/>
      <c r="W217" s="14"/>
      <c r="X217" s="14"/>
      <c r="Y217" s="14"/>
      <c r="Z217" s="14"/>
      <c r="AJ217" s="3"/>
      <c r="AK217" s="12"/>
      <c r="AL217" s="12"/>
      <c r="AM217" s="12"/>
      <c r="AN217" s="12"/>
      <c r="AO217" s="12"/>
      <c r="AP217" s="12"/>
      <c r="AZ217" s="3"/>
      <c r="BA217" s="12"/>
      <c r="BB217" s="12"/>
      <c r="BC217" s="12"/>
      <c r="BD217" s="12"/>
      <c r="BE217" s="12"/>
      <c r="BF217" s="12"/>
      <c r="BP217" s="7"/>
      <c r="BQ217" s="14"/>
      <c r="BR217" s="14"/>
      <c r="BS217" s="14"/>
      <c r="BT217" s="14"/>
      <c r="BU217" s="14"/>
      <c r="BV217" s="14"/>
      <c r="CF217" s="3"/>
      <c r="CG217" s="12"/>
      <c r="CH217" s="12"/>
      <c r="CI217" s="12"/>
      <c r="CJ217" s="12"/>
      <c r="CK217" s="12"/>
      <c r="CL217" s="12"/>
    </row>
    <row r="218" spans="4:90" x14ac:dyDescent="0.3">
      <c r="D218" s="3"/>
      <c r="E218" s="12"/>
      <c r="F218" s="12"/>
      <c r="G218" s="12"/>
      <c r="H218" s="12"/>
      <c r="I218" s="12"/>
      <c r="J218" s="12"/>
      <c r="T218" s="7"/>
      <c r="U218" s="14"/>
      <c r="V218" s="14"/>
      <c r="W218" s="14"/>
      <c r="X218" s="14"/>
      <c r="Y218" s="14"/>
      <c r="Z218" s="14"/>
      <c r="AJ218" s="3"/>
      <c r="AK218" s="12"/>
      <c r="AL218" s="12"/>
      <c r="AM218" s="12"/>
      <c r="AN218" s="12"/>
      <c r="AO218" s="12"/>
      <c r="AP218" s="12"/>
      <c r="AZ218" s="3"/>
      <c r="BA218" s="12"/>
      <c r="BB218" s="12"/>
      <c r="BC218" s="12"/>
      <c r="BD218" s="12"/>
      <c r="BE218" s="12"/>
      <c r="BF218" s="12"/>
      <c r="BP218" s="7"/>
      <c r="BQ218" s="14"/>
      <c r="BR218" s="14"/>
      <c r="BS218" s="14"/>
      <c r="BT218" s="14"/>
      <c r="BU218" s="14"/>
      <c r="BV218" s="14"/>
      <c r="CF218" s="3"/>
      <c r="CG218" s="12"/>
      <c r="CH218" s="12"/>
      <c r="CI218" s="12"/>
      <c r="CJ218" s="12"/>
      <c r="CK218" s="12"/>
      <c r="CL218" s="12"/>
    </row>
    <row r="219" spans="4:90" x14ac:dyDescent="0.3">
      <c r="D219" s="3"/>
      <c r="E219" s="12"/>
      <c r="F219" s="12"/>
      <c r="G219" s="12"/>
      <c r="H219" s="12"/>
      <c r="I219" s="12"/>
      <c r="J219" s="12"/>
      <c r="T219" s="7"/>
      <c r="U219" s="14"/>
      <c r="V219" s="14"/>
      <c r="W219" s="14"/>
      <c r="X219" s="14"/>
      <c r="Y219" s="14"/>
      <c r="Z219" s="14"/>
      <c r="AJ219" s="3"/>
      <c r="AK219" s="12"/>
      <c r="AL219" s="12"/>
      <c r="AM219" s="12"/>
      <c r="AN219" s="12"/>
      <c r="AO219" s="12"/>
      <c r="AP219" s="12"/>
      <c r="AZ219" s="3"/>
      <c r="BA219" s="12"/>
      <c r="BB219" s="12"/>
      <c r="BC219" s="12"/>
      <c r="BD219" s="12"/>
      <c r="BE219" s="12"/>
      <c r="BF219" s="12"/>
      <c r="BP219" s="7"/>
      <c r="BQ219" s="14"/>
      <c r="BR219" s="14"/>
      <c r="BS219" s="14"/>
      <c r="BT219" s="14"/>
      <c r="BU219" s="14"/>
      <c r="BV219" s="14"/>
      <c r="CF219" s="3"/>
      <c r="CG219" s="12"/>
      <c r="CH219" s="12"/>
      <c r="CI219" s="12"/>
      <c r="CJ219" s="12"/>
      <c r="CK219" s="12"/>
      <c r="CL219" s="12"/>
    </row>
    <row r="220" spans="4:90" x14ac:dyDescent="0.3">
      <c r="D220" s="3"/>
      <c r="E220" s="12"/>
      <c r="F220" s="12"/>
      <c r="G220" s="12"/>
      <c r="H220" s="12"/>
      <c r="I220" s="12"/>
      <c r="J220" s="12"/>
      <c r="T220" s="7"/>
      <c r="U220" s="14"/>
      <c r="V220" s="14"/>
      <c r="W220" s="14"/>
      <c r="X220" s="14"/>
      <c r="Y220" s="14"/>
      <c r="Z220" s="14"/>
      <c r="AJ220" s="3"/>
      <c r="AK220" s="12"/>
      <c r="AL220" s="12"/>
      <c r="AM220" s="12"/>
      <c r="AN220" s="12"/>
      <c r="AO220" s="12"/>
      <c r="AP220" s="12"/>
      <c r="AZ220" s="3"/>
      <c r="BA220" s="12"/>
      <c r="BB220" s="12"/>
      <c r="BC220" s="12"/>
      <c r="BD220" s="12"/>
      <c r="BE220" s="12"/>
      <c r="BF220" s="12"/>
      <c r="BP220" s="7"/>
      <c r="BQ220" s="14"/>
      <c r="BR220" s="14"/>
      <c r="BS220" s="14"/>
      <c r="BT220" s="14"/>
      <c r="BU220" s="14"/>
      <c r="BV220" s="14"/>
      <c r="CF220" s="3"/>
      <c r="CG220" s="12"/>
      <c r="CH220" s="12"/>
      <c r="CI220" s="12"/>
      <c r="CJ220" s="12"/>
      <c r="CK220" s="12"/>
      <c r="CL220" s="12"/>
    </row>
    <row r="221" spans="4:90" x14ac:dyDescent="0.3">
      <c r="D221" s="3"/>
      <c r="E221" s="12"/>
      <c r="F221" s="12"/>
      <c r="G221" s="12"/>
      <c r="H221" s="12"/>
      <c r="I221" s="12"/>
      <c r="J221" s="12"/>
      <c r="T221" s="7"/>
      <c r="U221" s="14"/>
      <c r="V221" s="14"/>
      <c r="W221" s="14"/>
      <c r="X221" s="14"/>
      <c r="Y221" s="14"/>
      <c r="Z221" s="14"/>
      <c r="AJ221" s="3"/>
      <c r="AK221" s="12"/>
      <c r="AL221" s="12"/>
      <c r="AM221" s="12"/>
      <c r="AN221" s="12"/>
      <c r="AO221" s="12"/>
      <c r="AP221" s="12"/>
      <c r="AZ221" s="3"/>
      <c r="BA221" s="12"/>
      <c r="BB221" s="12"/>
      <c r="BC221" s="12"/>
      <c r="BD221" s="12"/>
      <c r="BE221" s="12"/>
      <c r="BF221" s="12"/>
      <c r="BP221" s="7"/>
      <c r="BQ221" s="14"/>
      <c r="BR221" s="14"/>
      <c r="BS221" s="14"/>
      <c r="BT221" s="14"/>
      <c r="BU221" s="14"/>
      <c r="BV221" s="14"/>
      <c r="CF221" s="3"/>
      <c r="CG221" s="12"/>
      <c r="CH221" s="12"/>
      <c r="CI221" s="12"/>
      <c r="CJ221" s="12"/>
      <c r="CK221" s="12"/>
      <c r="CL221" s="12"/>
    </row>
    <row r="222" spans="4:90" x14ac:dyDescent="0.3">
      <c r="D222" s="3"/>
      <c r="E222" s="12"/>
      <c r="F222" s="12"/>
      <c r="G222" s="12"/>
      <c r="H222" s="12"/>
      <c r="I222" s="12"/>
      <c r="J222" s="12"/>
      <c r="T222" s="7"/>
      <c r="U222" s="14"/>
      <c r="V222" s="14"/>
      <c r="W222" s="14"/>
      <c r="X222" s="14"/>
      <c r="Y222" s="14"/>
      <c r="Z222" s="14"/>
      <c r="AJ222" s="3"/>
      <c r="AK222" s="12"/>
      <c r="AL222" s="12"/>
      <c r="AM222" s="12"/>
      <c r="AN222" s="12"/>
      <c r="AO222" s="12"/>
      <c r="AP222" s="12"/>
      <c r="AZ222" s="3"/>
      <c r="BA222" s="12"/>
      <c r="BB222" s="12"/>
      <c r="BC222" s="12"/>
      <c r="BD222" s="12"/>
      <c r="BE222" s="12"/>
      <c r="BF222" s="12"/>
      <c r="BP222" s="7"/>
      <c r="BQ222" s="14"/>
      <c r="BR222" s="14"/>
      <c r="BS222" s="14"/>
      <c r="BT222" s="14"/>
      <c r="BU222" s="14"/>
      <c r="BV222" s="14"/>
      <c r="CF222" s="3"/>
      <c r="CG222" s="12"/>
      <c r="CH222" s="12"/>
      <c r="CI222" s="12"/>
      <c r="CJ222" s="12"/>
      <c r="CK222" s="12"/>
      <c r="CL222" s="12"/>
    </row>
    <row r="223" spans="4:90" x14ac:dyDescent="0.3">
      <c r="D223" s="3"/>
      <c r="E223" s="12"/>
      <c r="F223" s="12"/>
      <c r="G223" s="12"/>
      <c r="H223" s="12"/>
      <c r="I223" s="12"/>
      <c r="J223" s="12"/>
      <c r="T223" s="7"/>
      <c r="U223" s="14"/>
      <c r="V223" s="14"/>
      <c r="W223" s="14"/>
      <c r="X223" s="14"/>
      <c r="Y223" s="14"/>
      <c r="Z223" s="14"/>
      <c r="AJ223" s="3"/>
      <c r="AK223" s="12"/>
      <c r="AL223" s="12"/>
      <c r="AM223" s="12"/>
      <c r="AN223" s="12"/>
      <c r="AO223" s="12"/>
      <c r="AP223" s="12"/>
      <c r="AZ223" s="3"/>
      <c r="BA223" s="12"/>
      <c r="BB223" s="12"/>
      <c r="BC223" s="12"/>
      <c r="BD223" s="12"/>
      <c r="BE223" s="12"/>
      <c r="BF223" s="12"/>
      <c r="BP223" s="7"/>
      <c r="BQ223" s="14"/>
      <c r="BR223" s="14"/>
      <c r="BS223" s="14"/>
      <c r="BT223" s="14"/>
      <c r="BU223" s="14"/>
      <c r="BV223" s="14"/>
      <c r="CF223" s="3"/>
      <c r="CG223" s="12"/>
      <c r="CH223" s="12"/>
      <c r="CI223" s="12"/>
      <c r="CJ223" s="12"/>
      <c r="CK223" s="12"/>
      <c r="CL223" s="12"/>
    </row>
    <row r="224" spans="4:90" x14ac:dyDescent="0.3">
      <c r="D224" s="3"/>
      <c r="E224" s="12"/>
      <c r="F224" s="12"/>
      <c r="G224" s="12"/>
      <c r="H224" s="12"/>
      <c r="I224" s="12"/>
      <c r="J224" s="12"/>
      <c r="T224" s="7"/>
      <c r="U224" s="14"/>
      <c r="V224" s="14"/>
      <c r="W224" s="14"/>
      <c r="X224" s="14"/>
      <c r="Y224" s="14"/>
      <c r="Z224" s="14"/>
      <c r="AJ224" s="3"/>
      <c r="AK224" s="12"/>
      <c r="AL224" s="12"/>
      <c r="AM224" s="12"/>
      <c r="AN224" s="12"/>
      <c r="AO224" s="12"/>
      <c r="AP224" s="12"/>
      <c r="AZ224" s="3"/>
      <c r="BA224" s="12"/>
      <c r="BB224" s="12"/>
      <c r="BC224" s="12"/>
      <c r="BD224" s="12"/>
      <c r="BE224" s="12"/>
      <c r="BF224" s="12"/>
      <c r="BP224" s="7"/>
      <c r="BQ224" s="14"/>
      <c r="BR224" s="14"/>
      <c r="BS224" s="14"/>
      <c r="BT224" s="14"/>
      <c r="BU224" s="14"/>
      <c r="BV224" s="14"/>
      <c r="CF224" s="3"/>
      <c r="CG224" s="12"/>
      <c r="CH224" s="12"/>
      <c r="CI224" s="12"/>
      <c r="CJ224" s="12"/>
      <c r="CK224" s="12"/>
      <c r="CL224" s="12"/>
    </row>
    <row r="225" spans="4:90" x14ac:dyDescent="0.3">
      <c r="D225" s="3"/>
      <c r="E225" s="12"/>
      <c r="F225" s="12"/>
      <c r="G225" s="12"/>
      <c r="H225" s="12"/>
      <c r="I225" s="12"/>
      <c r="J225" s="12"/>
      <c r="T225" s="7"/>
      <c r="U225" s="14"/>
      <c r="V225" s="14"/>
      <c r="W225" s="14"/>
      <c r="X225" s="14"/>
      <c r="Y225" s="14"/>
      <c r="Z225" s="14"/>
      <c r="AJ225" s="3"/>
      <c r="AK225" s="12"/>
      <c r="AL225" s="12"/>
      <c r="AM225" s="12"/>
      <c r="AN225" s="12"/>
      <c r="AO225" s="12"/>
      <c r="AP225" s="12"/>
      <c r="AZ225" s="3"/>
      <c r="BA225" s="12"/>
      <c r="BB225" s="12"/>
      <c r="BC225" s="12"/>
      <c r="BD225" s="12"/>
      <c r="BE225" s="12"/>
      <c r="BF225" s="12"/>
      <c r="BP225" s="7"/>
      <c r="BQ225" s="14"/>
      <c r="BR225" s="14"/>
      <c r="BS225" s="14"/>
      <c r="BT225" s="14"/>
      <c r="BU225" s="14"/>
      <c r="BV225" s="14"/>
      <c r="CF225" s="3"/>
      <c r="CG225" s="12"/>
      <c r="CH225" s="12"/>
      <c r="CI225" s="12"/>
      <c r="CJ225" s="12"/>
      <c r="CK225" s="12"/>
      <c r="CL225" s="12"/>
    </row>
    <row r="226" spans="4:90" x14ac:dyDescent="0.3">
      <c r="D226" s="3"/>
      <c r="E226" s="12"/>
      <c r="F226" s="12"/>
      <c r="G226" s="12"/>
      <c r="H226" s="12"/>
      <c r="I226" s="12"/>
      <c r="J226" s="12"/>
      <c r="T226" s="7"/>
      <c r="U226" s="14"/>
      <c r="V226" s="14"/>
      <c r="W226" s="14"/>
      <c r="X226" s="14"/>
      <c r="Y226" s="14"/>
      <c r="Z226" s="14"/>
      <c r="AJ226" s="3"/>
      <c r="AK226" s="12"/>
      <c r="AL226" s="12"/>
      <c r="AM226" s="12"/>
      <c r="AN226" s="12"/>
      <c r="AO226" s="12"/>
      <c r="AP226" s="12"/>
      <c r="AZ226" s="3"/>
      <c r="BA226" s="12"/>
      <c r="BB226" s="12"/>
      <c r="BC226" s="12"/>
      <c r="BD226" s="12"/>
      <c r="BE226" s="12"/>
      <c r="BF226" s="12"/>
      <c r="BP226" s="7"/>
      <c r="BQ226" s="14"/>
      <c r="BR226" s="14"/>
      <c r="BS226" s="14"/>
      <c r="BT226" s="14"/>
      <c r="BU226" s="14"/>
      <c r="BV226" s="14"/>
      <c r="CF226" s="3"/>
      <c r="CG226" s="12"/>
      <c r="CH226" s="12"/>
      <c r="CI226" s="12"/>
      <c r="CJ226" s="12"/>
      <c r="CK226" s="12"/>
      <c r="CL226" s="12"/>
    </row>
    <row r="227" spans="4:90" x14ac:dyDescent="0.3">
      <c r="D227" s="3"/>
      <c r="E227" s="12"/>
      <c r="F227" s="12"/>
      <c r="G227" s="12"/>
      <c r="H227" s="12"/>
      <c r="I227" s="12"/>
      <c r="J227" s="12"/>
      <c r="T227" s="7"/>
      <c r="U227" s="14"/>
      <c r="V227" s="14"/>
      <c r="W227" s="14"/>
      <c r="X227" s="14"/>
      <c r="Y227" s="14"/>
      <c r="Z227" s="14"/>
      <c r="AJ227" s="3"/>
      <c r="AK227" s="12"/>
      <c r="AL227" s="12"/>
      <c r="AM227" s="12"/>
      <c r="AN227" s="12"/>
      <c r="AO227" s="12"/>
      <c r="AP227" s="12"/>
      <c r="AZ227" s="3"/>
      <c r="BA227" s="12"/>
      <c r="BB227" s="12"/>
      <c r="BC227" s="12"/>
      <c r="BD227" s="12"/>
      <c r="BE227" s="12"/>
      <c r="BF227" s="12"/>
      <c r="BP227" s="7"/>
      <c r="BQ227" s="14"/>
      <c r="BR227" s="14"/>
      <c r="BS227" s="14"/>
      <c r="BT227" s="14"/>
      <c r="BU227" s="14"/>
      <c r="BV227" s="14"/>
      <c r="CF227" s="3"/>
      <c r="CG227" s="12"/>
      <c r="CH227" s="12"/>
      <c r="CI227" s="12"/>
      <c r="CJ227" s="12"/>
      <c r="CK227" s="12"/>
      <c r="CL227" s="12"/>
    </row>
    <row r="228" spans="4:90" x14ac:dyDescent="0.3">
      <c r="D228" s="3"/>
      <c r="E228" s="12"/>
      <c r="F228" s="12"/>
      <c r="G228" s="12"/>
      <c r="H228" s="12"/>
      <c r="I228" s="12"/>
      <c r="J228" s="12"/>
      <c r="T228" s="7"/>
      <c r="U228" s="14"/>
      <c r="V228" s="14"/>
      <c r="W228" s="14"/>
      <c r="X228" s="14"/>
      <c r="Y228" s="14"/>
      <c r="Z228" s="14"/>
      <c r="AJ228" s="3"/>
      <c r="AK228" s="12"/>
      <c r="AL228" s="12"/>
      <c r="AM228" s="12"/>
      <c r="AN228" s="12"/>
      <c r="AO228" s="12"/>
      <c r="AP228" s="12"/>
      <c r="AZ228" s="3"/>
      <c r="BA228" s="12"/>
      <c r="BB228" s="12"/>
      <c r="BC228" s="12"/>
      <c r="BD228" s="12"/>
      <c r="BE228" s="12"/>
      <c r="BF228" s="12"/>
      <c r="BP228" s="7"/>
      <c r="BQ228" s="14"/>
      <c r="BR228" s="14"/>
      <c r="BS228" s="14"/>
      <c r="BT228" s="14"/>
      <c r="BU228" s="14"/>
      <c r="BV228" s="14"/>
      <c r="CF228" s="3"/>
      <c r="CG228" s="12"/>
      <c r="CH228" s="12"/>
      <c r="CI228" s="12"/>
      <c r="CJ228" s="12"/>
      <c r="CK228" s="12"/>
      <c r="CL228" s="12"/>
    </row>
    <row r="229" spans="4:90" x14ac:dyDescent="0.3">
      <c r="D229" s="3"/>
      <c r="E229" s="12"/>
      <c r="F229" s="12"/>
      <c r="G229" s="12"/>
      <c r="H229" s="12"/>
      <c r="I229" s="12"/>
      <c r="J229" s="12"/>
      <c r="T229" s="7"/>
      <c r="U229" s="14"/>
      <c r="V229" s="14"/>
      <c r="W229" s="14"/>
      <c r="X229" s="14"/>
      <c r="Y229" s="14"/>
      <c r="Z229" s="14"/>
      <c r="AJ229" s="3"/>
      <c r="AK229" s="12"/>
      <c r="AL229" s="12"/>
      <c r="AM229" s="12"/>
      <c r="AN229" s="12"/>
      <c r="AO229" s="12"/>
      <c r="AP229" s="12"/>
      <c r="AZ229" s="3"/>
      <c r="BA229" s="12"/>
      <c r="BB229" s="12"/>
      <c r="BC229" s="12"/>
      <c r="BD229" s="12"/>
      <c r="BE229" s="12"/>
      <c r="BF229" s="12"/>
      <c r="BP229" s="7"/>
      <c r="BQ229" s="14"/>
      <c r="BR229" s="14"/>
      <c r="BS229" s="14"/>
      <c r="BT229" s="14"/>
      <c r="BU229" s="14"/>
      <c r="BV229" s="14"/>
      <c r="CF229" s="3"/>
      <c r="CG229" s="12"/>
      <c r="CH229" s="12"/>
      <c r="CI229" s="12"/>
      <c r="CJ229" s="12"/>
      <c r="CK229" s="12"/>
      <c r="CL229" s="12"/>
    </row>
    <row r="230" spans="4:90" x14ac:dyDescent="0.3">
      <c r="D230" s="3"/>
      <c r="E230" s="12"/>
      <c r="F230" s="12"/>
      <c r="G230" s="12"/>
      <c r="H230" s="12"/>
      <c r="I230" s="12"/>
      <c r="J230" s="12"/>
      <c r="T230" s="7"/>
      <c r="U230" s="14"/>
      <c r="V230" s="14"/>
      <c r="W230" s="14"/>
      <c r="X230" s="14"/>
      <c r="Y230" s="14"/>
      <c r="Z230" s="14"/>
      <c r="AJ230" s="3"/>
      <c r="AK230" s="12"/>
      <c r="AL230" s="12"/>
      <c r="AM230" s="12"/>
      <c r="AN230" s="12"/>
      <c r="AO230" s="12"/>
      <c r="AP230" s="12"/>
      <c r="AZ230" s="3"/>
      <c r="BA230" s="12"/>
      <c r="BB230" s="12"/>
      <c r="BC230" s="12"/>
      <c r="BD230" s="12"/>
      <c r="BE230" s="12"/>
      <c r="BF230" s="12"/>
      <c r="BP230" s="7"/>
      <c r="BQ230" s="14"/>
      <c r="BR230" s="14"/>
      <c r="BS230" s="14"/>
      <c r="BT230" s="14"/>
      <c r="BU230" s="14"/>
      <c r="BV230" s="14"/>
      <c r="CF230" s="3"/>
      <c r="CG230" s="12"/>
      <c r="CH230" s="12"/>
      <c r="CI230" s="12"/>
      <c r="CJ230" s="12"/>
      <c r="CK230" s="12"/>
      <c r="CL230" s="12"/>
    </row>
    <row r="231" spans="4:90" x14ac:dyDescent="0.3">
      <c r="D231" s="3"/>
      <c r="E231" s="12"/>
      <c r="F231" s="12"/>
      <c r="G231" s="12"/>
      <c r="H231" s="12"/>
      <c r="I231" s="12"/>
      <c r="J231" s="12"/>
      <c r="T231" s="7"/>
      <c r="U231" s="14"/>
      <c r="V231" s="14"/>
      <c r="W231" s="14"/>
      <c r="X231" s="14"/>
      <c r="Y231" s="14"/>
      <c r="Z231" s="14"/>
      <c r="AJ231" s="3"/>
      <c r="AK231" s="12"/>
      <c r="AL231" s="12"/>
      <c r="AM231" s="12"/>
      <c r="AN231" s="12"/>
      <c r="AO231" s="12"/>
      <c r="AP231" s="12"/>
      <c r="AZ231" s="3"/>
      <c r="BA231" s="12"/>
      <c r="BB231" s="12"/>
      <c r="BC231" s="12"/>
      <c r="BD231" s="12"/>
      <c r="BE231" s="12"/>
      <c r="BF231" s="12"/>
      <c r="BP231" s="7"/>
      <c r="BQ231" s="14"/>
      <c r="BR231" s="14"/>
      <c r="BS231" s="14"/>
      <c r="BT231" s="14"/>
      <c r="BU231" s="14"/>
      <c r="BV231" s="14"/>
      <c r="CF231" s="3"/>
      <c r="CG231" s="12"/>
      <c r="CH231" s="12"/>
      <c r="CI231" s="12"/>
      <c r="CJ231" s="12"/>
      <c r="CK231" s="12"/>
      <c r="CL231" s="12"/>
    </row>
    <row r="232" spans="4:90" x14ac:dyDescent="0.3">
      <c r="D232" s="3"/>
      <c r="E232" s="12"/>
      <c r="F232" s="12"/>
      <c r="G232" s="12"/>
      <c r="H232" s="12"/>
      <c r="I232" s="12"/>
      <c r="J232" s="12"/>
      <c r="T232" s="7"/>
      <c r="U232" s="14"/>
      <c r="V232" s="14"/>
      <c r="W232" s="14"/>
      <c r="X232" s="14"/>
      <c r="Y232" s="14"/>
      <c r="Z232" s="14"/>
      <c r="AJ232" s="3"/>
      <c r="AK232" s="12"/>
      <c r="AL232" s="12"/>
      <c r="AM232" s="12"/>
      <c r="AN232" s="12"/>
      <c r="AO232" s="12"/>
      <c r="AP232" s="12"/>
      <c r="AZ232" s="3"/>
      <c r="BA232" s="12"/>
      <c r="BB232" s="12"/>
      <c r="BC232" s="12"/>
      <c r="BD232" s="12"/>
      <c r="BE232" s="12"/>
      <c r="BF232" s="12"/>
      <c r="BP232" s="7"/>
      <c r="BQ232" s="14"/>
      <c r="BR232" s="14"/>
      <c r="BS232" s="14"/>
      <c r="BT232" s="14"/>
      <c r="BU232" s="14"/>
      <c r="BV232" s="14"/>
      <c r="CF232" s="3"/>
      <c r="CG232" s="12"/>
      <c r="CH232" s="12"/>
      <c r="CI232" s="12"/>
      <c r="CJ232" s="12"/>
      <c r="CK232" s="12"/>
      <c r="CL232" s="12"/>
    </row>
    <row r="233" spans="4:90" x14ac:dyDescent="0.3">
      <c r="D233" s="3"/>
      <c r="E233" s="12"/>
      <c r="F233" s="12"/>
      <c r="G233" s="12"/>
      <c r="H233" s="12"/>
      <c r="I233" s="12"/>
      <c r="J233" s="12"/>
      <c r="T233" s="7"/>
      <c r="U233" s="14"/>
      <c r="V233" s="14"/>
      <c r="W233" s="14"/>
      <c r="X233" s="14"/>
      <c r="Y233" s="14"/>
      <c r="Z233" s="14"/>
      <c r="AJ233" s="3"/>
      <c r="AK233" s="12"/>
      <c r="AL233" s="12"/>
      <c r="AM233" s="12"/>
      <c r="AN233" s="12"/>
      <c r="AO233" s="12"/>
      <c r="AP233" s="12"/>
      <c r="AZ233" s="3"/>
      <c r="BA233" s="12"/>
      <c r="BB233" s="12"/>
      <c r="BC233" s="12"/>
      <c r="BD233" s="12"/>
      <c r="BE233" s="12"/>
      <c r="BF233" s="12"/>
      <c r="BP233" s="7"/>
      <c r="BQ233" s="14"/>
      <c r="BR233" s="14"/>
      <c r="BS233" s="14"/>
      <c r="BT233" s="14"/>
      <c r="BU233" s="14"/>
      <c r="BV233" s="14"/>
      <c r="CF233" s="3"/>
      <c r="CG233" s="12"/>
      <c r="CH233" s="12"/>
      <c r="CI233" s="12"/>
      <c r="CJ233" s="12"/>
      <c r="CK233" s="12"/>
      <c r="CL233" s="12"/>
    </row>
    <row r="234" spans="4:90" x14ac:dyDescent="0.3">
      <c r="D234" s="3"/>
      <c r="E234" s="12"/>
      <c r="F234" s="12"/>
      <c r="G234" s="12"/>
      <c r="H234" s="12"/>
      <c r="I234" s="12"/>
      <c r="J234" s="12"/>
      <c r="T234" s="7"/>
      <c r="U234" s="14"/>
      <c r="V234" s="14"/>
      <c r="W234" s="14"/>
      <c r="X234" s="14"/>
      <c r="Y234" s="14"/>
      <c r="Z234" s="14"/>
      <c r="AJ234" s="3"/>
      <c r="AK234" s="12"/>
      <c r="AL234" s="12"/>
      <c r="AM234" s="12"/>
      <c r="AN234" s="12"/>
      <c r="AO234" s="12"/>
      <c r="AP234" s="12"/>
      <c r="AZ234" s="3"/>
      <c r="BA234" s="12"/>
      <c r="BB234" s="12"/>
      <c r="BC234" s="12"/>
      <c r="BD234" s="12"/>
      <c r="BE234" s="12"/>
      <c r="BF234" s="12"/>
      <c r="BP234" s="7"/>
      <c r="BQ234" s="14"/>
      <c r="BR234" s="14"/>
      <c r="BS234" s="14"/>
      <c r="BT234" s="14"/>
      <c r="BU234" s="14"/>
      <c r="BV234" s="14"/>
      <c r="CF234" s="3"/>
      <c r="CG234" s="12"/>
      <c r="CH234" s="12"/>
      <c r="CI234" s="12"/>
      <c r="CJ234" s="12"/>
      <c r="CK234" s="12"/>
      <c r="CL234" s="12"/>
    </row>
    <row r="235" spans="4:90" x14ac:dyDescent="0.3">
      <c r="D235" s="3"/>
      <c r="E235" s="12"/>
      <c r="F235" s="12"/>
      <c r="G235" s="12"/>
      <c r="H235" s="12"/>
      <c r="I235" s="12"/>
      <c r="J235" s="12"/>
      <c r="T235" s="7"/>
      <c r="U235" s="14"/>
      <c r="V235" s="14"/>
      <c r="W235" s="14"/>
      <c r="X235" s="14"/>
      <c r="Y235" s="14"/>
      <c r="Z235" s="14"/>
      <c r="AJ235" s="3"/>
      <c r="AK235" s="12"/>
      <c r="AL235" s="12"/>
      <c r="AM235" s="12"/>
      <c r="AN235" s="12"/>
      <c r="AO235" s="12"/>
      <c r="AP235" s="12"/>
      <c r="AZ235" s="3"/>
      <c r="BA235" s="12"/>
      <c r="BB235" s="12"/>
      <c r="BC235" s="12"/>
      <c r="BD235" s="12"/>
      <c r="BE235" s="12"/>
      <c r="BF235" s="12"/>
      <c r="BP235" s="7"/>
      <c r="BQ235" s="14"/>
      <c r="BR235" s="14"/>
      <c r="BS235" s="14"/>
      <c r="BT235" s="14"/>
      <c r="BU235" s="14"/>
      <c r="BV235" s="14"/>
      <c r="CF235" s="3"/>
      <c r="CG235" s="12"/>
      <c r="CH235" s="12"/>
      <c r="CI235" s="12"/>
      <c r="CJ235" s="12"/>
      <c r="CK235" s="12"/>
      <c r="CL235" s="12"/>
    </row>
    <row r="236" spans="4:90" x14ac:dyDescent="0.3">
      <c r="D236" s="3"/>
      <c r="E236" s="12"/>
      <c r="F236" s="12"/>
      <c r="G236" s="12"/>
      <c r="H236" s="12"/>
      <c r="I236" s="12"/>
      <c r="J236" s="12"/>
      <c r="T236" s="7"/>
      <c r="U236" s="14"/>
      <c r="V236" s="14"/>
      <c r="W236" s="14"/>
      <c r="X236" s="14"/>
      <c r="Y236" s="14"/>
      <c r="Z236" s="14"/>
      <c r="AJ236" s="3"/>
      <c r="AK236" s="12"/>
      <c r="AL236" s="12"/>
      <c r="AM236" s="12"/>
      <c r="AN236" s="12"/>
      <c r="AO236" s="12"/>
      <c r="AP236" s="12"/>
      <c r="AZ236" s="3"/>
      <c r="BA236" s="12"/>
      <c r="BB236" s="12"/>
      <c r="BC236" s="12"/>
      <c r="BD236" s="12"/>
      <c r="BE236" s="12"/>
      <c r="BF236" s="12"/>
      <c r="BP236" s="7"/>
      <c r="BQ236" s="14"/>
      <c r="BR236" s="14"/>
      <c r="BS236" s="14"/>
      <c r="BT236" s="14"/>
      <c r="BU236" s="14"/>
      <c r="BV236" s="14"/>
      <c r="CF236" s="3"/>
      <c r="CG236" s="12"/>
      <c r="CH236" s="12"/>
      <c r="CI236" s="12"/>
      <c r="CJ236" s="12"/>
      <c r="CK236" s="12"/>
      <c r="CL236" s="12"/>
    </row>
    <row r="237" spans="4:90" x14ac:dyDescent="0.3">
      <c r="D237" s="3"/>
      <c r="E237" s="12"/>
      <c r="F237" s="12"/>
      <c r="G237" s="12"/>
      <c r="H237" s="12"/>
      <c r="I237" s="12"/>
      <c r="J237" s="12"/>
      <c r="T237" s="7"/>
      <c r="U237" s="14"/>
      <c r="V237" s="14"/>
      <c r="W237" s="14"/>
      <c r="X237" s="14"/>
      <c r="Y237" s="14"/>
      <c r="Z237" s="14"/>
      <c r="AJ237" s="3"/>
      <c r="AK237" s="12"/>
      <c r="AL237" s="12"/>
      <c r="AM237" s="12"/>
      <c r="AN237" s="12"/>
      <c r="AO237" s="12"/>
      <c r="AP237" s="12"/>
      <c r="AZ237" s="3"/>
      <c r="BA237" s="12"/>
      <c r="BB237" s="12"/>
      <c r="BC237" s="12"/>
      <c r="BD237" s="12"/>
      <c r="BE237" s="12"/>
      <c r="BF237" s="12"/>
      <c r="BP237" s="7"/>
      <c r="BQ237" s="14"/>
      <c r="BR237" s="14"/>
      <c r="BS237" s="14"/>
      <c r="BT237" s="14"/>
      <c r="BU237" s="14"/>
      <c r="BV237" s="14"/>
      <c r="CF237" s="3"/>
      <c r="CG237" s="12"/>
      <c r="CH237" s="12"/>
      <c r="CI237" s="12"/>
      <c r="CJ237" s="12"/>
      <c r="CK237" s="12"/>
      <c r="CL237" s="12"/>
    </row>
    <row r="238" spans="4:90" x14ac:dyDescent="0.3">
      <c r="D238" s="3"/>
      <c r="E238" s="12"/>
      <c r="F238" s="12"/>
      <c r="G238" s="12"/>
      <c r="H238" s="12"/>
      <c r="I238" s="12"/>
      <c r="J238" s="12"/>
      <c r="T238" s="7"/>
      <c r="U238" s="14"/>
      <c r="V238" s="14"/>
      <c r="W238" s="14"/>
      <c r="X238" s="14"/>
      <c r="Y238" s="14"/>
      <c r="Z238" s="14"/>
      <c r="AJ238" s="3"/>
      <c r="AK238" s="12"/>
      <c r="AL238" s="12"/>
      <c r="AM238" s="12"/>
      <c r="AN238" s="12"/>
      <c r="AO238" s="12"/>
      <c r="AP238" s="12"/>
      <c r="AZ238" s="3"/>
      <c r="BA238" s="12"/>
      <c r="BB238" s="12"/>
      <c r="BC238" s="12"/>
      <c r="BD238" s="12"/>
      <c r="BE238" s="12"/>
      <c r="BF238" s="12"/>
      <c r="BP238" s="7"/>
      <c r="BQ238" s="14"/>
      <c r="BR238" s="14"/>
      <c r="BS238" s="14"/>
      <c r="BT238" s="14"/>
      <c r="BU238" s="14"/>
      <c r="BV238" s="14"/>
      <c r="CF238" s="3"/>
      <c r="CG238" s="12"/>
      <c r="CH238" s="12"/>
      <c r="CI238" s="12"/>
      <c r="CJ238" s="12"/>
      <c r="CK238" s="12"/>
      <c r="CL238" s="12"/>
    </row>
    <row r="239" spans="4:90" x14ac:dyDescent="0.3">
      <c r="D239" s="3"/>
      <c r="E239" s="12"/>
      <c r="F239" s="12"/>
      <c r="G239" s="12"/>
      <c r="H239" s="12"/>
      <c r="I239" s="12"/>
      <c r="J239" s="12"/>
      <c r="T239" s="7"/>
      <c r="U239" s="14"/>
      <c r="V239" s="14"/>
      <c r="W239" s="14"/>
      <c r="X239" s="14"/>
      <c r="Y239" s="14"/>
      <c r="Z239" s="14"/>
      <c r="AJ239" s="3"/>
      <c r="AK239" s="12"/>
      <c r="AL239" s="12"/>
      <c r="AM239" s="12"/>
      <c r="AN239" s="12"/>
      <c r="AO239" s="12"/>
      <c r="AP239" s="12"/>
      <c r="AZ239" s="3"/>
      <c r="BA239" s="12"/>
      <c r="BB239" s="12"/>
      <c r="BC239" s="12"/>
      <c r="BD239" s="12"/>
      <c r="BE239" s="12"/>
      <c r="BF239" s="12"/>
      <c r="BP239" s="7"/>
      <c r="BQ239" s="14"/>
      <c r="BR239" s="14"/>
      <c r="BS239" s="14"/>
      <c r="BT239" s="14"/>
      <c r="BU239" s="14"/>
      <c r="BV239" s="14"/>
      <c r="CF239" s="3"/>
      <c r="CG239" s="12"/>
      <c r="CH239" s="12"/>
      <c r="CI239" s="12"/>
      <c r="CJ239" s="12"/>
      <c r="CK239" s="12"/>
      <c r="CL239" s="12"/>
    </row>
    <row r="240" spans="4:90" x14ac:dyDescent="0.3">
      <c r="D240" s="3"/>
      <c r="E240" s="12"/>
      <c r="F240" s="12"/>
      <c r="G240" s="12"/>
      <c r="H240" s="12"/>
      <c r="I240" s="12"/>
      <c r="J240" s="12"/>
      <c r="T240" s="7"/>
      <c r="U240" s="14"/>
      <c r="V240" s="14"/>
      <c r="W240" s="14"/>
      <c r="X240" s="14"/>
      <c r="Y240" s="14"/>
      <c r="Z240" s="14"/>
      <c r="AJ240" s="3"/>
      <c r="AK240" s="12"/>
      <c r="AL240" s="12"/>
      <c r="AM240" s="12"/>
      <c r="AN240" s="12"/>
      <c r="AO240" s="12"/>
      <c r="AP240" s="12"/>
      <c r="AZ240" s="3"/>
      <c r="BA240" s="12"/>
      <c r="BB240" s="12"/>
      <c r="BC240" s="12"/>
      <c r="BD240" s="12"/>
      <c r="BE240" s="12"/>
      <c r="BF240" s="12"/>
      <c r="BP240" s="7"/>
      <c r="BQ240" s="14"/>
      <c r="BR240" s="14"/>
      <c r="BS240" s="14"/>
      <c r="BT240" s="14"/>
      <c r="BU240" s="14"/>
      <c r="BV240" s="14"/>
      <c r="CF240" s="3"/>
      <c r="CG240" s="12"/>
      <c r="CH240" s="12"/>
      <c r="CI240" s="12"/>
      <c r="CJ240" s="12"/>
      <c r="CK240" s="12"/>
      <c r="CL240" s="12"/>
    </row>
    <row r="241" spans="4:90" x14ac:dyDescent="0.3">
      <c r="D241" s="3"/>
      <c r="E241" s="12"/>
      <c r="F241" s="12"/>
      <c r="G241" s="12"/>
      <c r="H241" s="12"/>
      <c r="I241" s="12"/>
      <c r="J241" s="12"/>
      <c r="T241" s="7"/>
      <c r="U241" s="14"/>
      <c r="V241" s="14"/>
      <c r="W241" s="14"/>
      <c r="X241" s="14"/>
      <c r="Y241" s="14"/>
      <c r="Z241" s="14"/>
      <c r="AJ241" s="3"/>
      <c r="AK241" s="12"/>
      <c r="AL241" s="12"/>
      <c r="AM241" s="12"/>
      <c r="AN241" s="12"/>
      <c r="AO241" s="12"/>
      <c r="AP241" s="12"/>
      <c r="AZ241" s="3"/>
      <c r="BA241" s="12"/>
      <c r="BB241" s="12"/>
      <c r="BC241" s="12"/>
      <c r="BD241" s="12"/>
      <c r="BE241" s="12"/>
      <c r="BF241" s="12"/>
      <c r="BP241" s="7"/>
      <c r="BQ241" s="14"/>
      <c r="BR241" s="14"/>
      <c r="BS241" s="14"/>
      <c r="BT241" s="14"/>
      <c r="BU241" s="14"/>
      <c r="BV241" s="14"/>
      <c r="CF241" s="3"/>
      <c r="CG241" s="12"/>
      <c r="CH241" s="12"/>
      <c r="CI241" s="12"/>
      <c r="CJ241" s="12"/>
      <c r="CK241" s="12"/>
      <c r="CL241" s="12"/>
    </row>
    <row r="242" spans="4:90" x14ac:dyDescent="0.3">
      <c r="D242" s="3"/>
      <c r="E242" s="12"/>
      <c r="F242" s="12"/>
      <c r="G242" s="12"/>
      <c r="H242" s="12"/>
      <c r="I242" s="12"/>
      <c r="J242" s="12"/>
      <c r="T242" s="7"/>
      <c r="U242" s="14"/>
      <c r="V242" s="14"/>
      <c r="W242" s="14"/>
      <c r="X242" s="14"/>
      <c r="Y242" s="14"/>
      <c r="Z242" s="14"/>
      <c r="AJ242" s="3"/>
      <c r="AK242" s="12"/>
      <c r="AL242" s="12"/>
      <c r="AM242" s="12"/>
      <c r="AN242" s="12"/>
      <c r="AO242" s="12"/>
      <c r="AP242" s="12"/>
      <c r="AZ242" s="3"/>
      <c r="BA242" s="12"/>
      <c r="BB242" s="12"/>
      <c r="BC242" s="12"/>
      <c r="BD242" s="12"/>
      <c r="BE242" s="12"/>
      <c r="BF242" s="12"/>
      <c r="BP242" s="7"/>
      <c r="BQ242" s="14"/>
      <c r="BR242" s="14"/>
      <c r="BS242" s="14"/>
      <c r="BT242" s="14"/>
      <c r="BU242" s="14"/>
      <c r="BV242" s="14"/>
      <c r="CF242" s="3"/>
      <c r="CG242" s="12"/>
      <c r="CH242" s="12"/>
      <c r="CI242" s="12"/>
      <c r="CJ242" s="12"/>
      <c r="CK242" s="12"/>
      <c r="CL242" s="12"/>
    </row>
    <row r="243" spans="4:90" x14ac:dyDescent="0.3">
      <c r="D243" s="3"/>
      <c r="E243" s="12"/>
      <c r="F243" s="12"/>
      <c r="G243" s="12"/>
      <c r="H243" s="12"/>
      <c r="I243" s="12"/>
      <c r="J243" s="12"/>
      <c r="T243" s="7"/>
      <c r="U243" s="14"/>
      <c r="V243" s="14"/>
      <c r="W243" s="14"/>
      <c r="X243" s="14"/>
      <c r="Y243" s="14"/>
      <c r="Z243" s="14"/>
      <c r="AJ243" s="3"/>
      <c r="AK243" s="12"/>
      <c r="AL243" s="12"/>
      <c r="AM243" s="12"/>
      <c r="AN243" s="12"/>
      <c r="AO243" s="12"/>
      <c r="AP243" s="12"/>
      <c r="AZ243" s="3"/>
      <c r="BA243" s="12"/>
      <c r="BB243" s="12"/>
      <c r="BC243" s="12"/>
      <c r="BD243" s="12"/>
      <c r="BE243" s="12"/>
      <c r="BF243" s="12"/>
      <c r="BP243" s="7"/>
      <c r="BQ243" s="14"/>
      <c r="BR243" s="14"/>
      <c r="BS243" s="14"/>
      <c r="BT243" s="14"/>
      <c r="BU243" s="14"/>
      <c r="BV243" s="14"/>
      <c r="CF243" s="3"/>
      <c r="CG243" s="12"/>
      <c r="CH243" s="12"/>
      <c r="CI243" s="12"/>
      <c r="CJ243" s="12"/>
      <c r="CK243" s="12"/>
      <c r="CL243" s="12"/>
    </row>
    <row r="244" spans="4:90" x14ac:dyDescent="0.3">
      <c r="D244" s="3"/>
      <c r="E244" s="12"/>
      <c r="F244" s="12"/>
      <c r="G244" s="12"/>
      <c r="H244" s="12"/>
      <c r="I244" s="12"/>
      <c r="J244" s="12"/>
      <c r="T244" s="7"/>
      <c r="U244" s="14"/>
      <c r="V244" s="14"/>
      <c r="W244" s="14"/>
      <c r="X244" s="14"/>
      <c r="Y244" s="14"/>
      <c r="Z244" s="14"/>
      <c r="AJ244" s="3"/>
      <c r="AK244" s="12"/>
      <c r="AL244" s="12"/>
      <c r="AM244" s="12"/>
      <c r="AN244" s="12"/>
      <c r="AO244" s="12"/>
      <c r="AP244" s="12"/>
      <c r="AZ244" s="3"/>
      <c r="BA244" s="12"/>
      <c r="BB244" s="12"/>
      <c r="BC244" s="12"/>
      <c r="BD244" s="12"/>
      <c r="BE244" s="12"/>
      <c r="BF244" s="12"/>
      <c r="BP244" s="7"/>
      <c r="BQ244" s="14"/>
      <c r="BR244" s="14"/>
      <c r="BS244" s="14"/>
      <c r="BT244" s="14"/>
      <c r="BU244" s="14"/>
      <c r="BV244" s="14"/>
      <c r="CF244" s="3"/>
      <c r="CG244" s="12"/>
      <c r="CH244" s="12"/>
      <c r="CI244" s="12"/>
      <c r="CJ244" s="12"/>
      <c r="CK244" s="12"/>
      <c r="CL244" s="12"/>
    </row>
    <row r="245" spans="4:90" x14ac:dyDescent="0.3">
      <c r="D245" s="3"/>
      <c r="E245" s="12"/>
      <c r="F245" s="12"/>
      <c r="G245" s="12"/>
      <c r="H245" s="12"/>
      <c r="I245" s="12"/>
      <c r="J245" s="12"/>
      <c r="T245" s="7"/>
      <c r="U245" s="14"/>
      <c r="V245" s="14"/>
      <c r="W245" s="14"/>
      <c r="X245" s="14"/>
      <c r="Y245" s="14"/>
      <c r="Z245" s="14"/>
      <c r="AJ245" s="3"/>
      <c r="AK245" s="12"/>
      <c r="AL245" s="12"/>
      <c r="AM245" s="12"/>
      <c r="AN245" s="12"/>
      <c r="AO245" s="12"/>
      <c r="AP245" s="12"/>
      <c r="AZ245" s="3"/>
      <c r="BA245" s="12"/>
      <c r="BB245" s="12"/>
      <c r="BC245" s="12"/>
      <c r="BD245" s="12"/>
      <c r="BE245" s="12"/>
      <c r="BF245" s="12"/>
      <c r="BP245" s="7"/>
      <c r="BQ245" s="14"/>
      <c r="BR245" s="14"/>
      <c r="BS245" s="14"/>
      <c r="BT245" s="14"/>
      <c r="BU245" s="14"/>
      <c r="BV245" s="14"/>
      <c r="CF245" s="3"/>
      <c r="CG245" s="12"/>
      <c r="CH245" s="12"/>
      <c r="CI245" s="12"/>
      <c r="CJ245" s="12"/>
      <c r="CK245" s="12"/>
      <c r="CL245" s="12"/>
    </row>
    <row r="246" spans="4:90" x14ac:dyDescent="0.3">
      <c r="D246" s="3"/>
      <c r="E246" s="12"/>
      <c r="F246" s="12"/>
      <c r="G246" s="12"/>
      <c r="H246" s="12"/>
      <c r="I246" s="12"/>
      <c r="J246" s="12"/>
      <c r="T246" s="7"/>
      <c r="U246" s="14"/>
      <c r="V246" s="14"/>
      <c r="W246" s="14"/>
      <c r="X246" s="14"/>
      <c r="Y246" s="14"/>
      <c r="Z246" s="14"/>
      <c r="AJ246" s="3"/>
      <c r="AK246" s="12"/>
      <c r="AL246" s="12"/>
      <c r="AM246" s="12"/>
      <c r="AN246" s="12"/>
      <c r="AO246" s="12"/>
      <c r="AP246" s="12"/>
      <c r="AZ246" s="3"/>
      <c r="BA246" s="12"/>
      <c r="BB246" s="12"/>
      <c r="BC246" s="12"/>
      <c r="BD246" s="12"/>
      <c r="BE246" s="12"/>
      <c r="BF246" s="12"/>
      <c r="BP246" s="7"/>
      <c r="BQ246" s="14"/>
      <c r="BR246" s="14"/>
      <c r="BS246" s="14"/>
      <c r="BT246" s="14"/>
      <c r="BU246" s="14"/>
      <c r="BV246" s="14"/>
      <c r="CF246" s="3"/>
      <c r="CG246" s="12"/>
      <c r="CH246" s="12"/>
      <c r="CI246" s="12"/>
      <c r="CJ246" s="12"/>
      <c r="CK246" s="12"/>
      <c r="CL246" s="12"/>
    </row>
    <row r="247" spans="4:90" x14ac:dyDescent="0.3">
      <c r="D247" s="3"/>
      <c r="E247" s="12"/>
      <c r="F247" s="12"/>
      <c r="G247" s="12"/>
      <c r="H247" s="12"/>
      <c r="I247" s="12"/>
      <c r="J247" s="12"/>
      <c r="T247" s="7"/>
      <c r="U247" s="14"/>
      <c r="V247" s="14"/>
      <c r="W247" s="14"/>
      <c r="X247" s="14"/>
      <c r="Y247" s="14"/>
      <c r="Z247" s="14"/>
      <c r="AJ247" s="3"/>
      <c r="AK247" s="12"/>
      <c r="AL247" s="12"/>
      <c r="AM247" s="12"/>
      <c r="AN247" s="12"/>
      <c r="AO247" s="12"/>
      <c r="AP247" s="12"/>
      <c r="AZ247" s="3"/>
      <c r="BA247" s="12"/>
      <c r="BB247" s="12"/>
      <c r="BC247" s="12"/>
      <c r="BD247" s="12"/>
      <c r="BE247" s="12"/>
      <c r="BF247" s="12"/>
      <c r="BP247" s="7"/>
      <c r="BQ247" s="14"/>
      <c r="BR247" s="14"/>
      <c r="BS247" s="14"/>
      <c r="BT247" s="14"/>
      <c r="BU247" s="14"/>
      <c r="BV247" s="14"/>
      <c r="CF247" s="3"/>
      <c r="CG247" s="12"/>
      <c r="CH247" s="12"/>
      <c r="CI247" s="12"/>
      <c r="CJ247" s="12"/>
      <c r="CK247" s="12"/>
      <c r="CL247" s="12"/>
    </row>
    <row r="248" spans="4:90" x14ac:dyDescent="0.3">
      <c r="D248" s="3"/>
      <c r="E248" s="12"/>
      <c r="F248" s="12"/>
      <c r="G248" s="12"/>
      <c r="H248" s="12"/>
      <c r="I248" s="12"/>
      <c r="J248" s="12"/>
      <c r="T248" s="7"/>
      <c r="U248" s="14"/>
      <c r="V248" s="14"/>
      <c r="W248" s="14"/>
      <c r="X248" s="14"/>
      <c r="Y248" s="14"/>
      <c r="Z248" s="14"/>
      <c r="AJ248" s="3"/>
      <c r="AK248" s="12"/>
      <c r="AL248" s="12"/>
      <c r="AM248" s="12"/>
      <c r="AN248" s="12"/>
      <c r="AO248" s="12"/>
      <c r="AP248" s="12"/>
      <c r="AZ248" s="3"/>
      <c r="BA248" s="12"/>
      <c r="BB248" s="12"/>
      <c r="BC248" s="12"/>
      <c r="BD248" s="12"/>
      <c r="BE248" s="12"/>
      <c r="BF248" s="12"/>
      <c r="BP248" s="7"/>
      <c r="BQ248" s="14"/>
      <c r="BR248" s="14"/>
      <c r="BS248" s="14"/>
      <c r="BT248" s="14"/>
      <c r="BU248" s="14"/>
      <c r="BV248" s="14"/>
      <c r="CF248" s="3"/>
      <c r="CG248" s="12"/>
      <c r="CH248" s="12"/>
      <c r="CI248" s="12"/>
      <c r="CJ248" s="12"/>
      <c r="CK248" s="12"/>
      <c r="CL248" s="12"/>
    </row>
    <row r="249" spans="4:90" x14ac:dyDescent="0.3">
      <c r="D249" s="3"/>
      <c r="E249" s="12"/>
      <c r="F249" s="12"/>
      <c r="G249" s="12"/>
      <c r="H249" s="12"/>
      <c r="I249" s="12"/>
      <c r="J249" s="12"/>
      <c r="T249" s="7"/>
      <c r="U249" s="14"/>
      <c r="V249" s="14"/>
      <c r="W249" s="14"/>
      <c r="X249" s="14"/>
      <c r="Y249" s="14"/>
      <c r="Z249" s="14"/>
      <c r="AJ249" s="3"/>
      <c r="AK249" s="12"/>
      <c r="AL249" s="12"/>
      <c r="AM249" s="12"/>
      <c r="AN249" s="12"/>
      <c r="AO249" s="12"/>
      <c r="AP249" s="12"/>
      <c r="AZ249" s="3"/>
      <c r="BA249" s="12"/>
      <c r="BB249" s="12"/>
      <c r="BC249" s="12"/>
      <c r="BD249" s="12"/>
      <c r="BE249" s="12"/>
      <c r="BF249" s="12"/>
      <c r="BP249" s="7"/>
      <c r="BQ249" s="14"/>
      <c r="BR249" s="14"/>
      <c r="BS249" s="14"/>
      <c r="BT249" s="14"/>
      <c r="BU249" s="14"/>
      <c r="BV249" s="14"/>
      <c r="CF249" s="3"/>
      <c r="CG249" s="12"/>
      <c r="CH249" s="12"/>
      <c r="CI249" s="12"/>
      <c r="CJ249" s="12"/>
      <c r="CK249" s="12"/>
      <c r="CL249" s="12"/>
    </row>
    <row r="250" spans="4:90" x14ac:dyDescent="0.3">
      <c r="D250" s="3"/>
      <c r="E250" s="12"/>
      <c r="F250" s="12"/>
      <c r="G250" s="12"/>
      <c r="H250" s="12"/>
      <c r="I250" s="12"/>
      <c r="J250" s="12"/>
      <c r="T250" s="7"/>
      <c r="U250" s="14"/>
      <c r="V250" s="14"/>
      <c r="W250" s="14"/>
      <c r="X250" s="14"/>
      <c r="Y250" s="14"/>
      <c r="Z250" s="14"/>
      <c r="AJ250" s="3"/>
      <c r="AK250" s="12"/>
      <c r="AL250" s="12"/>
      <c r="AM250" s="12"/>
      <c r="AN250" s="12"/>
      <c r="AO250" s="12"/>
      <c r="AP250" s="12"/>
      <c r="AZ250" s="3"/>
      <c r="BA250" s="12"/>
      <c r="BB250" s="12"/>
      <c r="BC250" s="12"/>
      <c r="BD250" s="12"/>
      <c r="BE250" s="12"/>
      <c r="BF250" s="12"/>
      <c r="BP250" s="7"/>
      <c r="BQ250" s="14"/>
      <c r="BR250" s="14"/>
      <c r="BS250" s="14"/>
      <c r="BT250" s="14"/>
      <c r="BU250" s="14"/>
      <c r="BV250" s="14"/>
      <c r="CF250" s="3"/>
      <c r="CG250" s="12"/>
      <c r="CH250" s="12"/>
      <c r="CI250" s="12"/>
      <c r="CJ250" s="12"/>
      <c r="CK250" s="12"/>
      <c r="CL250" s="12"/>
    </row>
    <row r="251" spans="4:90" x14ac:dyDescent="0.3">
      <c r="D251" s="3"/>
      <c r="E251" s="12"/>
      <c r="F251" s="12"/>
      <c r="G251" s="12"/>
      <c r="H251" s="12"/>
      <c r="I251" s="12"/>
      <c r="J251" s="12"/>
      <c r="T251" s="7"/>
      <c r="U251" s="14"/>
      <c r="V251" s="14"/>
      <c r="W251" s="14"/>
      <c r="X251" s="14"/>
      <c r="Y251" s="14"/>
      <c r="Z251" s="14"/>
      <c r="AJ251" s="3"/>
      <c r="AK251" s="12"/>
      <c r="AL251" s="12"/>
      <c r="AM251" s="12"/>
      <c r="AN251" s="12"/>
      <c r="AO251" s="12"/>
      <c r="AP251" s="12"/>
      <c r="AZ251" s="3"/>
      <c r="BA251" s="12"/>
      <c r="BB251" s="12"/>
      <c r="BC251" s="12"/>
      <c r="BD251" s="12"/>
      <c r="BE251" s="12"/>
      <c r="BF251" s="12"/>
      <c r="BP251" s="7"/>
      <c r="BQ251" s="14"/>
      <c r="BR251" s="14"/>
      <c r="BS251" s="14"/>
      <c r="BT251" s="14"/>
      <c r="BU251" s="14"/>
      <c r="BV251" s="14"/>
      <c r="CF251" s="3"/>
      <c r="CG251" s="12"/>
      <c r="CH251" s="12"/>
      <c r="CI251" s="12"/>
      <c r="CJ251" s="12"/>
      <c r="CK251" s="12"/>
      <c r="CL251" s="12"/>
    </row>
    <row r="252" spans="4:90" x14ac:dyDescent="0.3">
      <c r="D252" s="3"/>
      <c r="E252" s="12"/>
      <c r="F252" s="12"/>
      <c r="G252" s="12"/>
      <c r="H252" s="12"/>
      <c r="I252" s="12"/>
      <c r="J252" s="12"/>
      <c r="T252" s="7"/>
      <c r="U252" s="14"/>
      <c r="V252" s="14"/>
      <c r="W252" s="14"/>
      <c r="X252" s="14"/>
      <c r="Y252" s="14"/>
      <c r="Z252" s="14"/>
      <c r="AJ252" s="3"/>
      <c r="AK252" s="12"/>
      <c r="AL252" s="12"/>
      <c r="AM252" s="12"/>
      <c r="AN252" s="12"/>
      <c r="AO252" s="12"/>
      <c r="AP252" s="12"/>
      <c r="AZ252" s="3"/>
      <c r="BA252" s="12"/>
      <c r="BB252" s="12"/>
      <c r="BC252" s="12"/>
      <c r="BD252" s="12"/>
      <c r="BE252" s="12"/>
      <c r="BF252" s="12"/>
      <c r="BP252" s="7"/>
      <c r="BQ252" s="14"/>
      <c r="BR252" s="14"/>
      <c r="BS252" s="14"/>
      <c r="BT252" s="14"/>
      <c r="BU252" s="14"/>
      <c r="BV252" s="14"/>
      <c r="CF252" s="3"/>
      <c r="CG252" s="12"/>
      <c r="CH252" s="12"/>
      <c r="CI252" s="12"/>
      <c r="CJ252" s="12"/>
      <c r="CK252" s="12"/>
      <c r="CL252" s="12"/>
    </row>
    <row r="253" spans="4:90" x14ac:dyDescent="0.3">
      <c r="D253" s="3"/>
      <c r="E253" s="12"/>
      <c r="F253" s="12"/>
      <c r="G253" s="12"/>
      <c r="H253" s="12"/>
      <c r="I253" s="12"/>
      <c r="J253" s="12"/>
      <c r="T253" s="7"/>
      <c r="U253" s="14"/>
      <c r="V253" s="14"/>
      <c r="W253" s="14"/>
      <c r="X253" s="14"/>
      <c r="Y253" s="14"/>
      <c r="Z253" s="14"/>
      <c r="AJ253" s="3"/>
      <c r="AK253" s="12"/>
      <c r="AL253" s="12"/>
      <c r="AM253" s="12"/>
      <c r="AN253" s="12"/>
      <c r="AO253" s="12"/>
      <c r="AP253" s="12"/>
      <c r="AZ253" s="3"/>
      <c r="BA253" s="12"/>
      <c r="BB253" s="12"/>
      <c r="BC253" s="12"/>
      <c r="BD253" s="12"/>
      <c r="BE253" s="12"/>
      <c r="BF253" s="12"/>
      <c r="BP253" s="7"/>
      <c r="BQ253" s="14"/>
      <c r="BR253" s="14"/>
      <c r="BS253" s="14"/>
      <c r="BT253" s="14"/>
      <c r="BU253" s="14"/>
      <c r="BV253" s="14"/>
      <c r="CF253" s="3"/>
      <c r="CG253" s="12"/>
      <c r="CH253" s="12"/>
      <c r="CI253" s="12"/>
      <c r="CJ253" s="12"/>
      <c r="CK253" s="12"/>
      <c r="CL253" s="12"/>
    </row>
    <row r="254" spans="4:90" x14ac:dyDescent="0.3">
      <c r="D254" s="3"/>
      <c r="E254" s="12"/>
      <c r="F254" s="12"/>
      <c r="G254" s="12"/>
      <c r="H254" s="12"/>
      <c r="I254" s="12"/>
      <c r="J254" s="12"/>
      <c r="T254" s="7"/>
      <c r="U254" s="14"/>
      <c r="V254" s="14"/>
      <c r="W254" s="14"/>
      <c r="X254" s="14"/>
      <c r="Y254" s="14"/>
      <c r="Z254" s="14"/>
      <c r="AJ254" s="3"/>
      <c r="AK254" s="12"/>
      <c r="AL254" s="12"/>
      <c r="AM254" s="12"/>
      <c r="AN254" s="12"/>
      <c r="AO254" s="12"/>
      <c r="AP254" s="12"/>
      <c r="AZ254" s="3"/>
      <c r="BA254" s="12"/>
      <c r="BB254" s="12"/>
      <c r="BC254" s="12"/>
      <c r="BD254" s="12"/>
      <c r="BE254" s="12"/>
      <c r="BF254" s="12"/>
      <c r="BP254" s="7"/>
      <c r="BQ254" s="14"/>
      <c r="BR254" s="14"/>
      <c r="BS254" s="14"/>
      <c r="BT254" s="14"/>
      <c r="BU254" s="14"/>
      <c r="BV254" s="14"/>
      <c r="CF254" s="3"/>
      <c r="CG254" s="12"/>
      <c r="CH254" s="12"/>
      <c r="CI254" s="12"/>
      <c r="CJ254" s="12"/>
      <c r="CK254" s="12"/>
      <c r="CL254" s="12"/>
    </row>
    <row r="255" spans="4:90" x14ac:dyDescent="0.3">
      <c r="D255" s="3"/>
      <c r="E255" s="12"/>
      <c r="F255" s="12"/>
      <c r="G255" s="12"/>
      <c r="H255" s="12"/>
      <c r="I255" s="12"/>
      <c r="J255" s="12"/>
      <c r="T255" s="7"/>
      <c r="U255" s="14"/>
      <c r="V255" s="14"/>
      <c r="W255" s="14"/>
      <c r="X255" s="14"/>
      <c r="Y255" s="14"/>
      <c r="Z255" s="14"/>
      <c r="AJ255" s="3"/>
      <c r="AK255" s="12"/>
      <c r="AL255" s="12"/>
      <c r="AM255" s="12"/>
      <c r="AN255" s="12"/>
      <c r="AO255" s="12"/>
      <c r="AP255" s="12"/>
      <c r="AZ255" s="3"/>
      <c r="BA255" s="12"/>
      <c r="BB255" s="12"/>
      <c r="BC255" s="12"/>
      <c r="BD255" s="12"/>
      <c r="BE255" s="12"/>
      <c r="BF255" s="12"/>
      <c r="BP255" s="7"/>
      <c r="BQ255" s="14"/>
      <c r="BR255" s="14"/>
      <c r="BS255" s="14"/>
      <c r="BT255" s="14"/>
      <c r="BU255" s="14"/>
      <c r="BV255" s="14"/>
      <c r="CF255" s="3"/>
      <c r="CG255" s="12"/>
      <c r="CH255" s="12"/>
      <c r="CI255" s="12"/>
      <c r="CJ255" s="12"/>
      <c r="CK255" s="12"/>
      <c r="CL255" s="12"/>
    </row>
    <row r="256" spans="4:90" x14ac:dyDescent="0.3">
      <c r="D256" s="3"/>
      <c r="E256" s="12"/>
      <c r="F256" s="12"/>
      <c r="G256" s="12"/>
      <c r="H256" s="12"/>
      <c r="I256" s="12"/>
      <c r="J256" s="12"/>
      <c r="T256" s="7"/>
      <c r="U256" s="14"/>
      <c r="V256" s="14"/>
      <c r="W256" s="14"/>
      <c r="X256" s="14"/>
      <c r="Y256" s="14"/>
      <c r="Z256" s="14"/>
      <c r="AJ256" s="3"/>
      <c r="AK256" s="12"/>
      <c r="AL256" s="12"/>
      <c r="AM256" s="12"/>
      <c r="AN256" s="12"/>
      <c r="AO256" s="12"/>
      <c r="AP256" s="12"/>
      <c r="AZ256" s="3"/>
      <c r="BA256" s="12"/>
      <c r="BB256" s="12"/>
      <c r="BC256" s="12"/>
      <c r="BD256" s="12"/>
      <c r="BE256" s="12"/>
      <c r="BF256" s="12"/>
      <c r="BP256" s="7"/>
      <c r="BQ256" s="14"/>
      <c r="BR256" s="14"/>
      <c r="BS256" s="14"/>
      <c r="BT256" s="14"/>
      <c r="BU256" s="14"/>
      <c r="BV256" s="14"/>
      <c r="CF256" s="3"/>
      <c r="CG256" s="12"/>
      <c r="CH256" s="12"/>
      <c r="CI256" s="12"/>
      <c r="CJ256" s="12"/>
      <c r="CK256" s="12"/>
      <c r="CL256" s="12"/>
    </row>
    <row r="257" spans="4:90" x14ac:dyDescent="0.3">
      <c r="D257" s="3"/>
      <c r="E257" s="12"/>
      <c r="F257" s="12"/>
      <c r="G257" s="12"/>
      <c r="H257" s="12"/>
      <c r="I257" s="12"/>
      <c r="J257" s="12"/>
      <c r="T257" s="7"/>
      <c r="U257" s="14"/>
      <c r="V257" s="14"/>
      <c r="W257" s="14"/>
      <c r="X257" s="14"/>
      <c r="Y257" s="14"/>
      <c r="Z257" s="14"/>
      <c r="AJ257" s="3"/>
      <c r="AK257" s="12"/>
      <c r="AL257" s="12"/>
      <c r="AM257" s="12"/>
      <c r="AN257" s="12"/>
      <c r="AO257" s="12"/>
      <c r="AP257" s="12"/>
      <c r="AZ257" s="3"/>
      <c r="BA257" s="12"/>
      <c r="BB257" s="12"/>
      <c r="BC257" s="12"/>
      <c r="BD257" s="12"/>
      <c r="BE257" s="12"/>
      <c r="BF257" s="12"/>
      <c r="BP257" s="7"/>
      <c r="BQ257" s="14"/>
      <c r="BR257" s="14"/>
      <c r="BS257" s="14"/>
      <c r="BT257" s="14"/>
      <c r="BU257" s="14"/>
      <c r="BV257" s="14"/>
      <c r="CF257" s="3"/>
      <c r="CG257" s="12"/>
      <c r="CH257" s="12"/>
      <c r="CI257" s="12"/>
      <c r="CJ257" s="12"/>
      <c r="CK257" s="12"/>
      <c r="CL257" s="12"/>
    </row>
    <row r="258" spans="4:90" x14ac:dyDescent="0.3">
      <c r="D258" s="3"/>
      <c r="E258" s="12"/>
      <c r="F258" s="12"/>
      <c r="G258" s="12"/>
      <c r="H258" s="12"/>
      <c r="I258" s="12"/>
      <c r="J258" s="12"/>
      <c r="T258" s="7"/>
      <c r="U258" s="14"/>
      <c r="V258" s="14"/>
      <c r="W258" s="14"/>
      <c r="X258" s="14"/>
      <c r="Y258" s="14"/>
      <c r="Z258" s="14"/>
      <c r="AJ258" s="3"/>
      <c r="AK258" s="12"/>
      <c r="AL258" s="12"/>
      <c r="AM258" s="12"/>
      <c r="AN258" s="12"/>
      <c r="AO258" s="12"/>
      <c r="AP258" s="12"/>
      <c r="AZ258" s="3"/>
      <c r="BA258" s="12"/>
      <c r="BB258" s="12"/>
      <c r="BC258" s="12"/>
      <c r="BD258" s="12"/>
      <c r="BE258" s="12"/>
      <c r="BF258" s="12"/>
      <c r="BP258" s="7"/>
      <c r="BQ258" s="14"/>
      <c r="BR258" s="14"/>
      <c r="BS258" s="14"/>
      <c r="BT258" s="14"/>
      <c r="BU258" s="14"/>
      <c r="BV258" s="14"/>
      <c r="CF258" s="3"/>
      <c r="CG258" s="12"/>
      <c r="CH258" s="12"/>
      <c r="CI258" s="12"/>
      <c r="CJ258" s="12"/>
      <c r="CK258" s="12"/>
      <c r="CL258" s="12"/>
    </row>
    <row r="259" spans="4:90" x14ac:dyDescent="0.3">
      <c r="D259" s="3"/>
      <c r="E259" s="12"/>
      <c r="F259" s="12"/>
      <c r="G259" s="12"/>
      <c r="H259" s="12"/>
      <c r="I259" s="12"/>
      <c r="J259" s="12"/>
      <c r="T259" s="7"/>
      <c r="U259" s="14"/>
      <c r="V259" s="14"/>
      <c r="W259" s="14"/>
      <c r="X259" s="14"/>
      <c r="Y259" s="14"/>
      <c r="Z259" s="14"/>
      <c r="AJ259" s="3"/>
      <c r="AK259" s="12"/>
      <c r="AL259" s="12"/>
      <c r="AM259" s="12"/>
      <c r="AN259" s="12"/>
      <c r="AO259" s="12"/>
      <c r="AP259" s="12"/>
      <c r="AZ259" s="3"/>
      <c r="BA259" s="12"/>
      <c r="BB259" s="12"/>
      <c r="BC259" s="12"/>
      <c r="BD259" s="12"/>
      <c r="BE259" s="12"/>
      <c r="BF259" s="12"/>
      <c r="BP259" s="7"/>
      <c r="BQ259" s="14"/>
      <c r="BR259" s="14"/>
      <c r="BS259" s="14"/>
      <c r="BT259" s="14"/>
      <c r="BU259" s="14"/>
      <c r="BV259" s="14"/>
      <c r="CF259" s="3"/>
      <c r="CG259" s="12"/>
      <c r="CH259" s="12"/>
      <c r="CI259" s="12"/>
      <c r="CJ259" s="12"/>
      <c r="CK259" s="12"/>
      <c r="CL259" s="12"/>
    </row>
    <row r="260" spans="4:90" x14ac:dyDescent="0.3">
      <c r="D260" s="3"/>
      <c r="E260" s="12"/>
      <c r="F260" s="12"/>
      <c r="G260" s="12"/>
      <c r="H260" s="12"/>
      <c r="I260" s="12"/>
      <c r="J260" s="12"/>
      <c r="T260" s="7"/>
      <c r="U260" s="14"/>
      <c r="V260" s="14"/>
      <c r="W260" s="14"/>
      <c r="X260" s="14"/>
      <c r="Y260" s="14"/>
      <c r="Z260" s="14"/>
      <c r="AJ260" s="3"/>
      <c r="AK260" s="12"/>
      <c r="AL260" s="12"/>
      <c r="AM260" s="12"/>
      <c r="AN260" s="12"/>
      <c r="AO260" s="12"/>
      <c r="AP260" s="12"/>
      <c r="AZ260" s="3"/>
      <c r="BA260" s="12"/>
      <c r="BB260" s="12"/>
      <c r="BC260" s="12"/>
      <c r="BD260" s="12"/>
      <c r="BE260" s="12"/>
      <c r="BF260" s="12"/>
      <c r="BP260" s="7"/>
      <c r="BQ260" s="14"/>
      <c r="BR260" s="14"/>
      <c r="BS260" s="14"/>
      <c r="BT260" s="14"/>
      <c r="BU260" s="14"/>
      <c r="BV260" s="14"/>
      <c r="CF260" s="3"/>
      <c r="CG260" s="12"/>
      <c r="CH260" s="12"/>
      <c r="CI260" s="12"/>
      <c r="CJ260" s="12"/>
      <c r="CK260" s="12"/>
      <c r="CL260" s="12"/>
    </row>
    <row r="261" spans="4:90" x14ac:dyDescent="0.3">
      <c r="D261" s="3"/>
      <c r="E261" s="12"/>
      <c r="F261" s="12"/>
      <c r="G261" s="12"/>
      <c r="H261" s="12"/>
      <c r="I261" s="12"/>
      <c r="J261" s="12"/>
      <c r="T261" s="7"/>
      <c r="U261" s="14"/>
      <c r="V261" s="14"/>
      <c r="W261" s="14"/>
      <c r="X261" s="14"/>
      <c r="Y261" s="14"/>
      <c r="Z261" s="14"/>
      <c r="AJ261" s="3"/>
      <c r="AK261" s="12"/>
      <c r="AL261" s="12"/>
      <c r="AM261" s="12"/>
      <c r="AN261" s="12"/>
      <c r="AO261" s="12"/>
      <c r="AP261" s="12"/>
      <c r="AZ261" s="3"/>
      <c r="BA261" s="12"/>
      <c r="BB261" s="12"/>
      <c r="BC261" s="12"/>
      <c r="BD261" s="12"/>
      <c r="BE261" s="12"/>
      <c r="BF261" s="12"/>
      <c r="BP261" s="7"/>
      <c r="BQ261" s="14"/>
      <c r="BR261" s="14"/>
      <c r="BS261" s="14"/>
      <c r="BT261" s="14"/>
      <c r="BU261" s="14"/>
      <c r="BV261" s="14"/>
      <c r="CF261" s="3"/>
      <c r="CG261" s="12"/>
      <c r="CH261" s="12"/>
      <c r="CI261" s="12"/>
      <c r="CJ261" s="12"/>
      <c r="CK261" s="12"/>
      <c r="CL261" s="12"/>
    </row>
    <row r="262" spans="4:90" x14ac:dyDescent="0.3">
      <c r="D262" s="3"/>
      <c r="E262" s="12"/>
      <c r="F262" s="12"/>
      <c r="G262" s="12"/>
      <c r="H262" s="12"/>
      <c r="I262" s="12"/>
      <c r="J262" s="12"/>
      <c r="T262" s="7"/>
      <c r="U262" s="14"/>
      <c r="V262" s="14"/>
      <c r="W262" s="14"/>
      <c r="X262" s="14"/>
      <c r="Y262" s="14"/>
      <c r="Z262" s="14"/>
      <c r="AJ262" s="3"/>
      <c r="AK262" s="12"/>
      <c r="AL262" s="12"/>
      <c r="AM262" s="12"/>
      <c r="AN262" s="12"/>
      <c r="AO262" s="12"/>
      <c r="AP262" s="12"/>
      <c r="AZ262" s="3"/>
      <c r="BA262" s="12"/>
      <c r="BB262" s="12"/>
      <c r="BC262" s="12"/>
      <c r="BD262" s="12"/>
      <c r="BE262" s="12"/>
      <c r="BF262" s="12"/>
      <c r="BP262" s="7"/>
      <c r="BQ262" s="14"/>
      <c r="BR262" s="14"/>
      <c r="BS262" s="14"/>
      <c r="BT262" s="14"/>
      <c r="BU262" s="14"/>
      <c r="BV262" s="14"/>
      <c r="CF262" s="3"/>
      <c r="CG262" s="12"/>
      <c r="CH262" s="12"/>
      <c r="CI262" s="12"/>
      <c r="CJ262" s="12"/>
      <c r="CK262" s="12"/>
      <c r="CL262" s="12"/>
    </row>
    <row r="263" spans="4:90" x14ac:dyDescent="0.3">
      <c r="D263" s="3"/>
      <c r="E263" s="12"/>
      <c r="F263" s="12"/>
      <c r="G263" s="12"/>
      <c r="H263" s="12"/>
      <c r="I263" s="12"/>
      <c r="J263" s="12"/>
      <c r="T263" s="7"/>
      <c r="U263" s="14"/>
      <c r="V263" s="14"/>
      <c r="W263" s="14"/>
      <c r="X263" s="14"/>
      <c r="Y263" s="14"/>
      <c r="Z263" s="14"/>
      <c r="AJ263" s="3"/>
      <c r="AK263" s="12"/>
      <c r="AL263" s="12"/>
      <c r="AM263" s="12"/>
      <c r="AN263" s="12"/>
      <c r="AO263" s="12"/>
      <c r="AP263" s="12"/>
      <c r="AZ263" s="3"/>
      <c r="BA263" s="12"/>
      <c r="BB263" s="12"/>
      <c r="BC263" s="12"/>
      <c r="BD263" s="12"/>
      <c r="BE263" s="12"/>
      <c r="BF263" s="12"/>
      <c r="BP263" s="7"/>
      <c r="BQ263" s="14"/>
      <c r="BR263" s="14"/>
      <c r="BS263" s="14"/>
      <c r="BT263" s="14"/>
      <c r="BU263" s="14"/>
      <c r="BV263" s="14"/>
      <c r="CF263" s="3"/>
      <c r="CG263" s="12"/>
      <c r="CH263" s="12"/>
      <c r="CI263" s="12"/>
      <c r="CJ263" s="12"/>
      <c r="CK263" s="12"/>
      <c r="CL263" s="12"/>
    </row>
    <row r="264" spans="4:90" x14ac:dyDescent="0.3">
      <c r="D264" s="3"/>
      <c r="E264" s="12"/>
      <c r="F264" s="12"/>
      <c r="G264" s="12"/>
      <c r="H264" s="12"/>
      <c r="I264" s="12"/>
      <c r="J264" s="12"/>
      <c r="T264" s="7"/>
      <c r="U264" s="14"/>
      <c r="V264" s="14"/>
      <c r="W264" s="14"/>
      <c r="X264" s="14"/>
      <c r="Y264" s="14"/>
      <c r="Z264" s="14"/>
      <c r="AJ264" s="3"/>
      <c r="AK264" s="12"/>
      <c r="AL264" s="12"/>
      <c r="AM264" s="12"/>
      <c r="AN264" s="12"/>
      <c r="AO264" s="12"/>
      <c r="AP264" s="12"/>
      <c r="AZ264" s="3"/>
      <c r="BA264" s="12"/>
      <c r="BB264" s="12"/>
      <c r="BC264" s="12"/>
      <c r="BD264" s="12"/>
      <c r="BE264" s="12"/>
      <c r="BF264" s="12"/>
      <c r="BP264" s="7"/>
      <c r="BQ264" s="14"/>
      <c r="BR264" s="14"/>
      <c r="BS264" s="14"/>
      <c r="BT264" s="14"/>
      <c r="BU264" s="14"/>
      <c r="BV264" s="14"/>
      <c r="CF264" s="3"/>
      <c r="CG264" s="12"/>
      <c r="CH264" s="12"/>
      <c r="CI264" s="12"/>
      <c r="CJ264" s="12"/>
      <c r="CK264" s="12"/>
      <c r="CL264" s="12"/>
    </row>
    <row r="265" spans="4:90" x14ac:dyDescent="0.3">
      <c r="D265" s="3"/>
      <c r="E265" s="12"/>
      <c r="F265" s="12"/>
      <c r="G265" s="12"/>
      <c r="H265" s="12"/>
      <c r="I265" s="12"/>
      <c r="J265" s="12"/>
      <c r="T265" s="7"/>
      <c r="U265" s="14"/>
      <c r="V265" s="14"/>
      <c r="W265" s="14"/>
      <c r="X265" s="14"/>
      <c r="Y265" s="14"/>
      <c r="Z265" s="14"/>
      <c r="AJ265" s="3"/>
      <c r="AK265" s="12"/>
      <c r="AL265" s="12"/>
      <c r="AM265" s="12"/>
      <c r="AN265" s="12"/>
      <c r="AO265" s="12"/>
      <c r="AP265" s="12"/>
      <c r="AZ265" s="3"/>
      <c r="BA265" s="12"/>
      <c r="BB265" s="12"/>
      <c r="BC265" s="12"/>
      <c r="BD265" s="12"/>
      <c r="BE265" s="12"/>
      <c r="BF265" s="12"/>
      <c r="BP265" s="7"/>
      <c r="BQ265" s="14"/>
      <c r="BR265" s="14"/>
      <c r="BS265" s="14"/>
      <c r="BT265" s="14"/>
      <c r="BU265" s="14"/>
      <c r="BV265" s="14"/>
      <c r="CF265" s="3"/>
      <c r="CG265" s="12"/>
      <c r="CH265" s="12"/>
      <c r="CI265" s="12"/>
      <c r="CJ265" s="12"/>
      <c r="CK265" s="12"/>
      <c r="CL265" s="12"/>
    </row>
    <row r="266" spans="4:90" x14ac:dyDescent="0.3">
      <c r="D266" s="3"/>
      <c r="E266" s="12"/>
      <c r="F266" s="12"/>
      <c r="G266" s="12"/>
      <c r="H266" s="12"/>
      <c r="I266" s="12"/>
      <c r="J266" s="12"/>
      <c r="T266" s="7"/>
      <c r="U266" s="14"/>
      <c r="V266" s="14"/>
      <c r="W266" s="14"/>
      <c r="X266" s="14"/>
      <c r="Y266" s="14"/>
      <c r="Z266" s="14"/>
      <c r="AJ266" s="3"/>
      <c r="AK266" s="12"/>
      <c r="AL266" s="12"/>
      <c r="AM266" s="12"/>
      <c r="AN266" s="12"/>
      <c r="AO266" s="12"/>
      <c r="AP266" s="12"/>
      <c r="AZ266" s="3"/>
      <c r="BA266" s="12"/>
      <c r="BB266" s="12"/>
      <c r="BC266" s="12"/>
      <c r="BD266" s="12"/>
      <c r="BE266" s="12"/>
      <c r="BF266" s="12"/>
      <c r="BP266" s="7"/>
      <c r="BQ266" s="14"/>
      <c r="BR266" s="14"/>
      <c r="BS266" s="14"/>
      <c r="BT266" s="14"/>
      <c r="BU266" s="14"/>
      <c r="BV266" s="14"/>
      <c r="CF266" s="3"/>
      <c r="CG266" s="12"/>
      <c r="CH266" s="12"/>
      <c r="CI266" s="12"/>
      <c r="CJ266" s="12"/>
      <c r="CK266" s="12"/>
      <c r="CL266" s="12"/>
    </row>
    <row r="267" spans="4:90" x14ac:dyDescent="0.3">
      <c r="D267" s="3"/>
      <c r="E267" s="12"/>
      <c r="F267" s="12"/>
      <c r="G267" s="12"/>
      <c r="H267" s="12"/>
      <c r="I267" s="12"/>
      <c r="J267" s="12"/>
      <c r="T267" s="7"/>
      <c r="U267" s="14"/>
      <c r="V267" s="14"/>
      <c r="W267" s="14"/>
      <c r="X267" s="14"/>
      <c r="Y267" s="14"/>
      <c r="Z267" s="14"/>
      <c r="AJ267" s="3"/>
      <c r="AK267" s="12"/>
      <c r="AL267" s="12"/>
      <c r="AM267" s="12"/>
      <c r="AN267" s="12"/>
      <c r="AO267" s="12"/>
      <c r="AP267" s="12"/>
      <c r="AZ267" s="3"/>
      <c r="BA267" s="12"/>
      <c r="BB267" s="12"/>
      <c r="BC267" s="12"/>
      <c r="BD267" s="12"/>
      <c r="BE267" s="12"/>
      <c r="BF267" s="12"/>
      <c r="BP267" s="7"/>
      <c r="BQ267" s="14"/>
      <c r="BR267" s="14"/>
      <c r="BS267" s="14"/>
      <c r="BT267" s="14"/>
      <c r="BU267" s="14"/>
      <c r="BV267" s="14"/>
      <c r="CF267" s="3"/>
      <c r="CG267" s="12"/>
      <c r="CH267" s="12"/>
      <c r="CI267" s="12"/>
      <c r="CJ267" s="12"/>
      <c r="CK267" s="12"/>
      <c r="CL267" s="12"/>
    </row>
    <row r="268" spans="4:90" x14ac:dyDescent="0.3">
      <c r="D268" s="3"/>
      <c r="E268" s="12"/>
      <c r="F268" s="12"/>
      <c r="G268" s="12"/>
      <c r="H268" s="12"/>
      <c r="I268" s="12"/>
      <c r="J268" s="12"/>
      <c r="T268" s="7"/>
      <c r="U268" s="14"/>
      <c r="V268" s="14"/>
      <c r="W268" s="14"/>
      <c r="X268" s="14"/>
      <c r="Y268" s="14"/>
      <c r="Z268" s="14"/>
      <c r="AJ268" s="3"/>
      <c r="AK268" s="12"/>
      <c r="AL268" s="12"/>
      <c r="AM268" s="12"/>
      <c r="AN268" s="12"/>
      <c r="AO268" s="12"/>
      <c r="AP268" s="12"/>
      <c r="AZ268" s="3"/>
      <c r="BA268" s="12"/>
      <c r="BB268" s="12"/>
      <c r="BC268" s="12"/>
      <c r="BD268" s="12"/>
      <c r="BE268" s="12"/>
      <c r="BF268" s="12"/>
      <c r="BP268" s="7"/>
      <c r="BQ268" s="14"/>
      <c r="BR268" s="14"/>
      <c r="BS268" s="14"/>
      <c r="BT268" s="14"/>
      <c r="BU268" s="14"/>
      <c r="BV268" s="14"/>
      <c r="CF268" s="3"/>
      <c r="CG268" s="12"/>
      <c r="CH268" s="12"/>
      <c r="CI268" s="12"/>
      <c r="CJ268" s="12"/>
      <c r="CK268" s="12"/>
      <c r="CL268" s="12"/>
    </row>
    <row r="269" spans="4:90" x14ac:dyDescent="0.3">
      <c r="D269" s="3"/>
      <c r="E269" s="12"/>
      <c r="F269" s="12"/>
      <c r="G269" s="12"/>
      <c r="H269" s="12"/>
      <c r="I269" s="12"/>
      <c r="J269" s="12"/>
      <c r="T269" s="7"/>
      <c r="U269" s="14"/>
      <c r="V269" s="14"/>
      <c r="W269" s="14"/>
      <c r="X269" s="14"/>
      <c r="Y269" s="14"/>
      <c r="Z269" s="14"/>
      <c r="AJ269" s="3"/>
      <c r="AK269" s="12"/>
      <c r="AL269" s="12"/>
      <c r="AM269" s="12"/>
      <c r="AN269" s="12"/>
      <c r="AO269" s="12"/>
      <c r="AP269" s="12"/>
      <c r="AZ269" s="3"/>
      <c r="BA269" s="12"/>
      <c r="BB269" s="12"/>
      <c r="BC269" s="12"/>
      <c r="BD269" s="12"/>
      <c r="BE269" s="12"/>
      <c r="BF269" s="12"/>
      <c r="BP269" s="7"/>
      <c r="BQ269" s="14"/>
      <c r="BR269" s="14"/>
      <c r="BS269" s="14"/>
      <c r="BT269" s="14"/>
      <c r="BU269" s="14"/>
      <c r="BV269" s="14"/>
      <c r="CF269" s="3"/>
      <c r="CG269" s="12"/>
      <c r="CH269" s="12"/>
      <c r="CI269" s="12"/>
      <c r="CJ269" s="12"/>
      <c r="CK269" s="12"/>
      <c r="CL269" s="12"/>
    </row>
    <row r="270" spans="4:90" x14ac:dyDescent="0.3">
      <c r="D270" s="3"/>
      <c r="E270" s="12"/>
      <c r="F270" s="12"/>
      <c r="G270" s="12"/>
      <c r="H270" s="12"/>
      <c r="I270" s="12"/>
      <c r="J270" s="12"/>
      <c r="T270" s="7"/>
      <c r="U270" s="14"/>
      <c r="V270" s="14"/>
      <c r="W270" s="14"/>
      <c r="X270" s="14"/>
      <c r="Y270" s="14"/>
      <c r="Z270" s="14"/>
      <c r="AJ270" s="3"/>
      <c r="AK270" s="12"/>
      <c r="AL270" s="12"/>
      <c r="AM270" s="12"/>
      <c r="AN270" s="12"/>
      <c r="AO270" s="12"/>
      <c r="AP270" s="12"/>
      <c r="AZ270" s="3"/>
      <c r="BA270" s="12"/>
      <c r="BB270" s="12"/>
      <c r="BC270" s="12"/>
      <c r="BD270" s="12"/>
      <c r="BE270" s="12"/>
      <c r="BF270" s="12"/>
      <c r="BP270" s="7"/>
      <c r="BQ270" s="14"/>
      <c r="BR270" s="14"/>
      <c r="BS270" s="14"/>
      <c r="BT270" s="14"/>
      <c r="BU270" s="14"/>
      <c r="BV270" s="14"/>
      <c r="CF270" s="3"/>
      <c r="CG270" s="12"/>
      <c r="CH270" s="12"/>
      <c r="CI270" s="12"/>
      <c r="CJ270" s="12"/>
      <c r="CK270" s="12"/>
      <c r="CL270" s="12"/>
    </row>
    <row r="271" spans="4:90" x14ac:dyDescent="0.3">
      <c r="D271" s="3"/>
      <c r="E271" s="12"/>
      <c r="F271" s="12"/>
      <c r="G271" s="12"/>
      <c r="H271" s="12"/>
      <c r="I271" s="12"/>
      <c r="J271" s="12"/>
      <c r="T271" s="7"/>
      <c r="U271" s="14"/>
      <c r="V271" s="14"/>
      <c r="W271" s="14"/>
      <c r="X271" s="14"/>
      <c r="Y271" s="14"/>
      <c r="Z271" s="14"/>
      <c r="AJ271" s="3"/>
      <c r="AK271" s="12"/>
      <c r="AL271" s="12"/>
      <c r="AM271" s="12"/>
      <c r="AN271" s="12"/>
      <c r="AO271" s="12"/>
      <c r="AP271" s="12"/>
      <c r="AZ271" s="3"/>
      <c r="BA271" s="12"/>
      <c r="BB271" s="12"/>
      <c r="BC271" s="12"/>
      <c r="BD271" s="12"/>
      <c r="BE271" s="12"/>
      <c r="BF271" s="12"/>
      <c r="BP271" s="7"/>
      <c r="BQ271" s="14"/>
      <c r="BR271" s="14"/>
      <c r="BS271" s="14"/>
      <c r="BT271" s="14"/>
      <c r="BU271" s="14"/>
      <c r="BV271" s="14"/>
      <c r="CF271" s="3"/>
      <c r="CG271" s="12"/>
      <c r="CH271" s="12"/>
      <c r="CI271" s="12"/>
      <c r="CJ271" s="12"/>
      <c r="CK271" s="12"/>
      <c r="CL271" s="12"/>
    </row>
    <row r="272" spans="4:90" x14ac:dyDescent="0.3">
      <c r="D272" s="3"/>
      <c r="E272" s="12"/>
      <c r="F272" s="12"/>
      <c r="G272" s="12"/>
      <c r="H272" s="12"/>
      <c r="I272" s="12"/>
      <c r="J272" s="12"/>
      <c r="T272" s="7"/>
      <c r="U272" s="14"/>
      <c r="V272" s="14"/>
      <c r="W272" s="14"/>
      <c r="X272" s="14"/>
      <c r="Y272" s="14"/>
      <c r="Z272" s="14"/>
      <c r="AJ272" s="3"/>
      <c r="AK272" s="12"/>
      <c r="AL272" s="12"/>
      <c r="AM272" s="12"/>
      <c r="AN272" s="12"/>
      <c r="AO272" s="12"/>
      <c r="AP272" s="12"/>
      <c r="AZ272" s="3"/>
      <c r="BA272" s="12"/>
      <c r="BB272" s="12"/>
      <c r="BC272" s="12"/>
      <c r="BD272" s="12"/>
      <c r="BE272" s="12"/>
      <c r="BF272" s="12"/>
      <c r="BP272" s="7"/>
      <c r="BQ272" s="14"/>
      <c r="BR272" s="14"/>
      <c r="BS272" s="14"/>
      <c r="BT272" s="14"/>
      <c r="BU272" s="14"/>
      <c r="BV272" s="14"/>
      <c r="CF272" s="3"/>
      <c r="CG272" s="12"/>
      <c r="CH272" s="12"/>
      <c r="CI272" s="12"/>
      <c r="CJ272" s="12"/>
      <c r="CK272" s="12"/>
      <c r="CL272" s="12"/>
    </row>
    <row r="273" spans="4:90" x14ac:dyDescent="0.3">
      <c r="D273" s="3"/>
      <c r="E273" s="12"/>
      <c r="F273" s="12"/>
      <c r="G273" s="12"/>
      <c r="H273" s="12"/>
      <c r="I273" s="12"/>
      <c r="J273" s="12"/>
      <c r="T273" s="7"/>
      <c r="U273" s="14"/>
      <c r="V273" s="14"/>
      <c r="W273" s="14"/>
      <c r="X273" s="14"/>
      <c r="Y273" s="14"/>
      <c r="Z273" s="14"/>
      <c r="AJ273" s="3"/>
      <c r="AK273" s="12"/>
      <c r="AL273" s="12"/>
      <c r="AM273" s="12"/>
      <c r="AN273" s="12"/>
      <c r="AO273" s="12"/>
      <c r="AP273" s="12"/>
      <c r="AZ273" s="3"/>
      <c r="BA273" s="12"/>
      <c r="BB273" s="12"/>
      <c r="BC273" s="12"/>
      <c r="BD273" s="12"/>
      <c r="BE273" s="12"/>
      <c r="BF273" s="12"/>
      <c r="BP273" s="7"/>
      <c r="BQ273" s="14"/>
      <c r="BR273" s="14"/>
      <c r="BS273" s="14"/>
      <c r="BT273" s="14"/>
      <c r="BU273" s="14"/>
      <c r="BV273" s="14"/>
      <c r="CF273" s="3"/>
      <c r="CG273" s="12"/>
      <c r="CH273" s="12"/>
      <c r="CI273" s="12"/>
      <c r="CJ273" s="12"/>
      <c r="CK273" s="12"/>
      <c r="CL273" s="12"/>
    </row>
    <row r="274" spans="4:90" x14ac:dyDescent="0.3">
      <c r="D274" s="3"/>
      <c r="E274" s="12"/>
      <c r="F274" s="12"/>
      <c r="G274" s="12"/>
      <c r="H274" s="12"/>
      <c r="I274" s="12"/>
      <c r="J274" s="12"/>
      <c r="T274" s="7"/>
      <c r="U274" s="14"/>
      <c r="V274" s="14"/>
      <c r="W274" s="14"/>
      <c r="X274" s="14"/>
      <c r="Y274" s="14"/>
      <c r="Z274" s="14"/>
      <c r="AJ274" s="3"/>
      <c r="AK274" s="12"/>
      <c r="AL274" s="12"/>
      <c r="AM274" s="12"/>
      <c r="AN274" s="12"/>
      <c r="AO274" s="12"/>
      <c r="AP274" s="12"/>
      <c r="AZ274" s="3"/>
      <c r="BA274" s="12"/>
      <c r="BB274" s="12"/>
      <c r="BC274" s="12"/>
      <c r="BD274" s="12"/>
      <c r="BE274" s="12"/>
      <c r="BF274" s="12"/>
      <c r="BP274" s="7"/>
      <c r="BQ274" s="14"/>
      <c r="BR274" s="14"/>
      <c r="BS274" s="14"/>
      <c r="BT274" s="14"/>
      <c r="BU274" s="14"/>
      <c r="BV274" s="14"/>
      <c r="CF274" s="3"/>
      <c r="CG274" s="12"/>
      <c r="CH274" s="12"/>
      <c r="CI274" s="12"/>
      <c r="CJ274" s="12"/>
      <c r="CK274" s="12"/>
      <c r="CL274" s="12"/>
    </row>
    <row r="275" spans="4:90" x14ac:dyDescent="0.3">
      <c r="D275" s="3"/>
      <c r="E275" s="12"/>
      <c r="F275" s="12"/>
      <c r="G275" s="12"/>
      <c r="H275" s="12"/>
      <c r="I275" s="12"/>
      <c r="J275" s="12"/>
      <c r="T275" s="7"/>
      <c r="U275" s="14"/>
      <c r="V275" s="14"/>
      <c r="W275" s="14"/>
      <c r="X275" s="14"/>
      <c r="Y275" s="14"/>
      <c r="Z275" s="14"/>
      <c r="AJ275" s="3"/>
      <c r="AK275" s="12"/>
      <c r="AL275" s="12"/>
      <c r="AM275" s="12"/>
      <c r="AN275" s="12"/>
      <c r="AO275" s="12"/>
      <c r="AP275" s="12"/>
      <c r="AZ275" s="3"/>
      <c r="BA275" s="12"/>
      <c r="BB275" s="12"/>
      <c r="BC275" s="12"/>
      <c r="BD275" s="12"/>
      <c r="BE275" s="12"/>
      <c r="BF275" s="12"/>
      <c r="BP275" s="7"/>
      <c r="BQ275" s="14"/>
      <c r="BR275" s="14"/>
      <c r="BS275" s="14"/>
      <c r="BT275" s="14"/>
      <c r="BU275" s="14"/>
      <c r="BV275" s="14"/>
      <c r="CF275" s="3"/>
      <c r="CG275" s="12"/>
      <c r="CH275" s="12"/>
      <c r="CI275" s="12"/>
      <c r="CJ275" s="12"/>
      <c r="CK275" s="12"/>
      <c r="CL275" s="12"/>
    </row>
    <row r="276" spans="4:90" x14ac:dyDescent="0.3">
      <c r="D276" s="3"/>
      <c r="E276" s="12"/>
      <c r="F276" s="12"/>
      <c r="G276" s="12"/>
      <c r="H276" s="12"/>
      <c r="I276" s="12"/>
      <c r="J276" s="12"/>
      <c r="T276" s="7"/>
      <c r="U276" s="14"/>
      <c r="V276" s="14"/>
      <c r="W276" s="14"/>
      <c r="X276" s="14"/>
      <c r="Y276" s="14"/>
      <c r="Z276" s="14"/>
      <c r="AJ276" s="3"/>
      <c r="AK276" s="12"/>
      <c r="AL276" s="12"/>
      <c r="AM276" s="12"/>
      <c r="AN276" s="12"/>
      <c r="AO276" s="12"/>
      <c r="AP276" s="12"/>
      <c r="AZ276" s="3"/>
      <c r="BA276" s="12"/>
      <c r="BB276" s="12"/>
      <c r="BC276" s="12"/>
      <c r="BD276" s="12"/>
      <c r="BE276" s="12"/>
      <c r="BF276" s="12"/>
      <c r="BP276" s="7"/>
      <c r="BQ276" s="14"/>
      <c r="BR276" s="14"/>
      <c r="BS276" s="14"/>
      <c r="BT276" s="14"/>
      <c r="BU276" s="14"/>
      <c r="BV276" s="14"/>
      <c r="CF276" s="3"/>
      <c r="CG276" s="12"/>
      <c r="CH276" s="12"/>
      <c r="CI276" s="12"/>
      <c r="CJ276" s="12"/>
      <c r="CK276" s="12"/>
      <c r="CL276" s="12"/>
    </row>
    <row r="277" spans="4:90" x14ac:dyDescent="0.3">
      <c r="D277" s="3"/>
      <c r="E277" s="12"/>
      <c r="F277" s="12"/>
      <c r="G277" s="12"/>
      <c r="H277" s="12"/>
      <c r="I277" s="12"/>
      <c r="J277" s="12"/>
      <c r="T277" s="7"/>
      <c r="U277" s="14"/>
      <c r="V277" s="14"/>
      <c r="W277" s="14"/>
      <c r="X277" s="14"/>
      <c r="Y277" s="14"/>
      <c r="Z277" s="14"/>
      <c r="AJ277" s="3"/>
      <c r="AK277" s="12"/>
      <c r="AL277" s="12"/>
      <c r="AM277" s="12"/>
      <c r="AN277" s="12"/>
      <c r="AO277" s="12"/>
      <c r="AP277" s="12"/>
      <c r="AZ277" s="3"/>
      <c r="BA277" s="12"/>
      <c r="BB277" s="12"/>
      <c r="BC277" s="12"/>
      <c r="BD277" s="12"/>
      <c r="BE277" s="12"/>
      <c r="BF277" s="12"/>
      <c r="BP277" s="7"/>
      <c r="BQ277" s="14"/>
      <c r="BR277" s="14"/>
      <c r="BS277" s="14"/>
      <c r="BT277" s="14"/>
      <c r="BU277" s="14"/>
      <c r="BV277" s="14"/>
      <c r="CF277" s="3"/>
      <c r="CG277" s="12"/>
      <c r="CH277" s="12"/>
      <c r="CI277" s="12"/>
      <c r="CJ277" s="12"/>
      <c r="CK277" s="12"/>
      <c r="CL277" s="12"/>
    </row>
    <row r="278" spans="4:90" x14ac:dyDescent="0.3">
      <c r="D278" s="3"/>
      <c r="E278" s="12"/>
      <c r="F278" s="12"/>
      <c r="G278" s="12"/>
      <c r="H278" s="12"/>
      <c r="I278" s="12"/>
      <c r="J278" s="12"/>
      <c r="T278" s="7"/>
      <c r="U278" s="14"/>
      <c r="V278" s="14"/>
      <c r="W278" s="14"/>
      <c r="X278" s="14"/>
      <c r="Y278" s="14"/>
      <c r="Z278" s="14"/>
      <c r="AJ278" s="3"/>
      <c r="AK278" s="12"/>
      <c r="AL278" s="12"/>
      <c r="AM278" s="12"/>
      <c r="AN278" s="12"/>
      <c r="AO278" s="12"/>
      <c r="AP278" s="12"/>
      <c r="AZ278" s="3"/>
      <c r="BA278" s="12"/>
      <c r="BB278" s="12"/>
      <c r="BC278" s="12"/>
      <c r="BD278" s="12"/>
      <c r="BE278" s="12"/>
      <c r="BF278" s="12"/>
      <c r="BP278" s="7"/>
      <c r="BQ278" s="14"/>
      <c r="BR278" s="14"/>
      <c r="BS278" s="14"/>
      <c r="BT278" s="14"/>
      <c r="BU278" s="14"/>
      <c r="BV278" s="14"/>
      <c r="CF278" s="3"/>
      <c r="CG278" s="12"/>
      <c r="CH278" s="12"/>
      <c r="CI278" s="12"/>
      <c r="CJ278" s="12"/>
      <c r="CK278" s="12"/>
      <c r="CL278" s="12"/>
    </row>
    <row r="279" spans="4:90" x14ac:dyDescent="0.3">
      <c r="D279" s="3"/>
      <c r="E279" s="12"/>
      <c r="F279" s="12"/>
      <c r="G279" s="12"/>
      <c r="H279" s="12"/>
      <c r="I279" s="12"/>
      <c r="J279" s="12"/>
      <c r="T279" s="7"/>
      <c r="U279" s="14"/>
      <c r="V279" s="14"/>
      <c r="W279" s="14"/>
      <c r="X279" s="14"/>
      <c r="Y279" s="14"/>
      <c r="Z279" s="14"/>
      <c r="AJ279" s="3"/>
      <c r="AK279" s="12"/>
      <c r="AL279" s="12"/>
      <c r="AM279" s="12"/>
      <c r="AN279" s="12"/>
      <c r="AO279" s="12"/>
      <c r="AP279" s="12"/>
      <c r="AZ279" s="3"/>
      <c r="BA279" s="12"/>
      <c r="BB279" s="12"/>
      <c r="BC279" s="12"/>
      <c r="BD279" s="12"/>
      <c r="BE279" s="12"/>
      <c r="BF279" s="12"/>
      <c r="BP279" s="7"/>
      <c r="BQ279" s="14"/>
      <c r="BR279" s="14"/>
      <c r="BS279" s="14"/>
      <c r="BT279" s="14"/>
      <c r="BU279" s="14"/>
      <c r="BV279" s="14"/>
      <c r="CF279" s="3"/>
      <c r="CG279" s="12"/>
      <c r="CH279" s="12"/>
      <c r="CI279" s="12"/>
      <c r="CJ279" s="12"/>
      <c r="CK279" s="12"/>
      <c r="CL279" s="12"/>
    </row>
    <row r="280" spans="4:90" x14ac:dyDescent="0.3">
      <c r="D280" s="3"/>
      <c r="E280" s="12"/>
      <c r="F280" s="12"/>
      <c r="G280" s="12"/>
      <c r="H280" s="12"/>
      <c r="I280" s="12"/>
      <c r="J280" s="12"/>
      <c r="T280" s="7"/>
      <c r="U280" s="14"/>
      <c r="V280" s="14"/>
      <c r="W280" s="14"/>
      <c r="X280" s="14"/>
      <c r="Y280" s="14"/>
      <c r="Z280" s="14"/>
      <c r="AJ280" s="3"/>
      <c r="AK280" s="12"/>
      <c r="AL280" s="12"/>
      <c r="AM280" s="12"/>
      <c r="AN280" s="12"/>
      <c r="AO280" s="12"/>
      <c r="AP280" s="12"/>
      <c r="AZ280" s="3"/>
      <c r="BA280" s="12"/>
      <c r="BB280" s="12"/>
      <c r="BC280" s="12"/>
      <c r="BD280" s="12"/>
      <c r="BE280" s="12"/>
      <c r="BF280" s="12"/>
      <c r="BP280" s="7"/>
      <c r="BQ280" s="14"/>
      <c r="BR280" s="14"/>
      <c r="BS280" s="14"/>
      <c r="BT280" s="14"/>
      <c r="BU280" s="14"/>
      <c r="BV280" s="14"/>
      <c r="CF280" s="3"/>
      <c r="CG280" s="12"/>
      <c r="CH280" s="12"/>
      <c r="CI280" s="12"/>
      <c r="CJ280" s="12"/>
      <c r="CK280" s="12"/>
      <c r="CL280" s="12"/>
    </row>
    <row r="281" spans="4:90" x14ac:dyDescent="0.3">
      <c r="D281" s="3"/>
      <c r="E281" s="12"/>
      <c r="F281" s="12"/>
      <c r="G281" s="12"/>
      <c r="H281" s="12"/>
      <c r="I281" s="12"/>
      <c r="J281" s="12"/>
      <c r="T281" s="7"/>
      <c r="U281" s="14"/>
      <c r="V281" s="14"/>
      <c r="W281" s="14"/>
      <c r="X281" s="14"/>
      <c r="Y281" s="14"/>
      <c r="Z281" s="14"/>
      <c r="AJ281" s="3"/>
      <c r="AK281" s="12"/>
      <c r="AL281" s="12"/>
      <c r="AM281" s="12"/>
      <c r="AN281" s="12"/>
      <c r="AO281" s="12"/>
      <c r="AP281" s="12"/>
      <c r="AZ281" s="3"/>
      <c r="BA281" s="12"/>
      <c r="BB281" s="12"/>
      <c r="BC281" s="12"/>
      <c r="BD281" s="12"/>
      <c r="BE281" s="12"/>
      <c r="BF281" s="12"/>
      <c r="BP281" s="7"/>
      <c r="BQ281" s="14"/>
      <c r="BR281" s="14"/>
      <c r="BS281" s="14"/>
      <c r="BT281" s="14"/>
      <c r="BU281" s="14"/>
      <c r="BV281" s="14"/>
      <c r="CF281" s="3"/>
      <c r="CG281" s="12"/>
      <c r="CH281" s="12"/>
      <c r="CI281" s="12"/>
      <c r="CJ281" s="12"/>
      <c r="CK281" s="12"/>
      <c r="CL281" s="12"/>
    </row>
    <row r="282" spans="4:90" x14ac:dyDescent="0.3">
      <c r="D282" s="3"/>
      <c r="E282" s="12"/>
      <c r="F282" s="12"/>
      <c r="G282" s="12"/>
      <c r="H282" s="12"/>
      <c r="I282" s="12"/>
      <c r="J282" s="12"/>
      <c r="T282" s="7"/>
      <c r="U282" s="14"/>
      <c r="V282" s="14"/>
      <c r="W282" s="14"/>
      <c r="X282" s="14"/>
      <c r="Y282" s="14"/>
      <c r="Z282" s="14"/>
      <c r="AJ282" s="3"/>
      <c r="AK282" s="12"/>
      <c r="AL282" s="12"/>
      <c r="AM282" s="12"/>
      <c r="AN282" s="12"/>
      <c r="AO282" s="12"/>
      <c r="AP282" s="12"/>
      <c r="AZ282" s="3"/>
      <c r="BA282" s="12"/>
      <c r="BB282" s="12"/>
      <c r="BC282" s="12"/>
      <c r="BD282" s="12"/>
      <c r="BE282" s="12"/>
      <c r="BF282" s="12"/>
      <c r="BP282" s="7"/>
      <c r="BQ282" s="14"/>
      <c r="BR282" s="14"/>
      <c r="BS282" s="14"/>
      <c r="BT282" s="14"/>
      <c r="BU282" s="14"/>
      <c r="BV282" s="14"/>
      <c r="CF282" s="3"/>
      <c r="CG282" s="12"/>
      <c r="CH282" s="12"/>
      <c r="CI282" s="12"/>
      <c r="CJ282" s="12"/>
      <c r="CK282" s="12"/>
      <c r="CL282" s="12"/>
    </row>
    <row r="283" spans="4:90" x14ac:dyDescent="0.3">
      <c r="D283" s="3"/>
      <c r="E283" s="12"/>
      <c r="F283" s="12"/>
      <c r="G283" s="12"/>
      <c r="H283" s="12"/>
      <c r="I283" s="12"/>
      <c r="J283" s="12"/>
      <c r="T283" s="7"/>
      <c r="U283" s="14"/>
      <c r="V283" s="14"/>
      <c r="W283" s="14"/>
      <c r="X283" s="14"/>
      <c r="Y283" s="14"/>
      <c r="Z283" s="14"/>
      <c r="AJ283" s="3"/>
      <c r="AK283" s="12"/>
      <c r="AL283" s="12"/>
      <c r="AM283" s="12"/>
      <c r="AN283" s="12"/>
      <c r="AO283" s="12"/>
      <c r="AP283" s="12"/>
      <c r="AZ283" s="3"/>
      <c r="BA283" s="12"/>
      <c r="BB283" s="12"/>
      <c r="BC283" s="12"/>
      <c r="BD283" s="12"/>
      <c r="BE283" s="12"/>
      <c r="BF283" s="12"/>
      <c r="BP283" s="7"/>
      <c r="BQ283" s="14"/>
      <c r="BR283" s="14"/>
      <c r="BS283" s="14"/>
      <c r="BT283" s="14"/>
      <c r="BU283" s="14"/>
      <c r="BV283" s="14"/>
      <c r="CF283" s="3"/>
      <c r="CG283" s="12"/>
      <c r="CH283" s="12"/>
      <c r="CI283" s="12"/>
      <c r="CJ283" s="12"/>
      <c r="CK283" s="12"/>
      <c r="CL283" s="12"/>
    </row>
    <row r="284" spans="4:90" x14ac:dyDescent="0.3">
      <c r="D284" s="3"/>
      <c r="E284" s="12"/>
      <c r="F284" s="12"/>
      <c r="G284" s="12"/>
      <c r="H284" s="12"/>
      <c r="I284" s="12"/>
      <c r="J284" s="12"/>
      <c r="T284" s="7"/>
      <c r="U284" s="14"/>
      <c r="V284" s="14"/>
      <c r="W284" s="14"/>
      <c r="X284" s="14"/>
      <c r="Y284" s="14"/>
      <c r="Z284" s="14"/>
      <c r="AJ284" s="3"/>
      <c r="AK284" s="12"/>
      <c r="AL284" s="12"/>
      <c r="AM284" s="12"/>
      <c r="AN284" s="12"/>
      <c r="AO284" s="12"/>
      <c r="AP284" s="12"/>
      <c r="AZ284" s="3"/>
      <c r="BA284" s="12"/>
      <c r="BB284" s="12"/>
      <c r="BC284" s="12"/>
      <c r="BD284" s="12"/>
      <c r="BE284" s="12"/>
      <c r="BF284" s="12"/>
      <c r="BP284" s="7"/>
      <c r="BQ284" s="14"/>
      <c r="BR284" s="14"/>
      <c r="BS284" s="14"/>
      <c r="BT284" s="14"/>
      <c r="BU284" s="14"/>
      <c r="BV284" s="14"/>
      <c r="CF284" s="3"/>
      <c r="CG284" s="12"/>
      <c r="CH284" s="12"/>
      <c r="CI284" s="12"/>
      <c r="CJ284" s="12"/>
      <c r="CK284" s="12"/>
      <c r="CL284" s="12"/>
    </row>
    <row r="285" spans="4:90" x14ac:dyDescent="0.3">
      <c r="D285" s="3"/>
      <c r="E285" s="12"/>
      <c r="F285" s="12"/>
      <c r="G285" s="12"/>
      <c r="H285" s="12"/>
      <c r="I285" s="12"/>
      <c r="J285" s="12"/>
      <c r="T285" s="7"/>
      <c r="U285" s="14"/>
      <c r="V285" s="14"/>
      <c r="W285" s="14"/>
      <c r="X285" s="14"/>
      <c r="Y285" s="14"/>
      <c r="Z285" s="14"/>
      <c r="AJ285" s="3"/>
      <c r="AK285" s="12"/>
      <c r="AL285" s="12"/>
      <c r="AM285" s="12"/>
      <c r="AN285" s="12"/>
      <c r="AO285" s="12"/>
      <c r="AP285" s="12"/>
      <c r="AZ285" s="3"/>
      <c r="BA285" s="12"/>
      <c r="BB285" s="12"/>
      <c r="BC285" s="12"/>
      <c r="BD285" s="12"/>
      <c r="BE285" s="12"/>
      <c r="BF285" s="12"/>
      <c r="BP285" s="7"/>
      <c r="BQ285" s="14"/>
      <c r="BR285" s="14"/>
      <c r="BS285" s="14"/>
      <c r="BT285" s="14"/>
      <c r="BU285" s="14"/>
      <c r="BV285" s="14"/>
      <c r="CF285" s="3"/>
      <c r="CG285" s="12"/>
      <c r="CH285" s="12"/>
      <c r="CI285" s="12"/>
      <c r="CJ285" s="12"/>
      <c r="CK285" s="12"/>
      <c r="CL285" s="12"/>
    </row>
    <row r="286" spans="4:90" x14ac:dyDescent="0.3">
      <c r="D286" s="3"/>
      <c r="E286" s="12"/>
      <c r="F286" s="12"/>
      <c r="G286" s="12"/>
      <c r="H286" s="12"/>
      <c r="I286" s="12"/>
      <c r="J286" s="12"/>
      <c r="T286" s="7"/>
      <c r="U286" s="14"/>
      <c r="V286" s="14"/>
      <c r="W286" s="14"/>
      <c r="X286" s="14"/>
      <c r="Y286" s="14"/>
      <c r="Z286" s="14"/>
      <c r="AJ286" s="3"/>
      <c r="AK286" s="12"/>
      <c r="AL286" s="12"/>
      <c r="AM286" s="12"/>
      <c r="AN286" s="12"/>
      <c r="AO286" s="12"/>
      <c r="AP286" s="12"/>
      <c r="AZ286" s="3"/>
      <c r="BA286" s="12"/>
      <c r="BB286" s="12"/>
      <c r="BC286" s="12"/>
      <c r="BD286" s="12"/>
      <c r="BE286" s="12"/>
      <c r="BF286" s="12"/>
      <c r="BP286" s="7"/>
      <c r="BQ286" s="14"/>
      <c r="BR286" s="14"/>
      <c r="BS286" s="14"/>
      <c r="BT286" s="14"/>
      <c r="BU286" s="14"/>
      <c r="BV286" s="14"/>
      <c r="CF286" s="3"/>
      <c r="CG286" s="12"/>
      <c r="CH286" s="12"/>
      <c r="CI286" s="12"/>
      <c r="CJ286" s="12"/>
      <c r="CK286" s="12"/>
      <c r="CL286" s="12"/>
    </row>
    <row r="287" spans="4:90" x14ac:dyDescent="0.3">
      <c r="D287" s="3"/>
      <c r="E287" s="12"/>
      <c r="F287" s="12"/>
      <c r="G287" s="12"/>
      <c r="H287" s="12"/>
      <c r="I287" s="12"/>
      <c r="J287" s="12"/>
      <c r="T287" s="7"/>
      <c r="U287" s="14"/>
      <c r="V287" s="14"/>
      <c r="W287" s="14"/>
      <c r="X287" s="14"/>
      <c r="Y287" s="14"/>
      <c r="Z287" s="14"/>
      <c r="AJ287" s="3"/>
      <c r="AK287" s="12"/>
      <c r="AL287" s="12"/>
      <c r="AM287" s="12"/>
      <c r="AN287" s="12"/>
      <c r="AO287" s="12"/>
      <c r="AP287" s="12"/>
      <c r="AZ287" s="3"/>
      <c r="BA287" s="12"/>
      <c r="BB287" s="12"/>
      <c r="BC287" s="12"/>
      <c r="BD287" s="12"/>
      <c r="BE287" s="12"/>
      <c r="BF287" s="12"/>
      <c r="BP287" s="7"/>
      <c r="BQ287" s="14"/>
      <c r="BR287" s="14"/>
      <c r="BS287" s="14"/>
      <c r="BT287" s="14"/>
      <c r="BU287" s="14"/>
      <c r="BV287" s="14"/>
      <c r="CF287" s="3"/>
      <c r="CG287" s="12"/>
      <c r="CH287" s="12"/>
      <c r="CI287" s="12"/>
      <c r="CJ287" s="12"/>
      <c r="CK287" s="12"/>
      <c r="CL287" s="12"/>
    </row>
    <row r="288" spans="4:90" x14ac:dyDescent="0.3">
      <c r="D288" s="3"/>
      <c r="E288" s="12"/>
      <c r="F288" s="12"/>
      <c r="G288" s="12"/>
      <c r="H288" s="12"/>
      <c r="I288" s="12"/>
      <c r="J288" s="12"/>
      <c r="T288" s="7"/>
      <c r="U288" s="14"/>
      <c r="V288" s="14"/>
      <c r="W288" s="14"/>
      <c r="X288" s="14"/>
      <c r="Y288" s="14"/>
      <c r="Z288" s="14"/>
      <c r="AJ288" s="3"/>
      <c r="AK288" s="12"/>
      <c r="AL288" s="12"/>
      <c r="AM288" s="12"/>
      <c r="AN288" s="12"/>
      <c r="AO288" s="12"/>
      <c r="AP288" s="12"/>
      <c r="AZ288" s="3"/>
      <c r="BA288" s="12"/>
      <c r="BB288" s="12"/>
      <c r="BC288" s="12"/>
      <c r="BD288" s="12"/>
      <c r="BE288" s="12"/>
      <c r="BF288" s="12"/>
      <c r="BP288" s="7"/>
      <c r="BQ288" s="14"/>
      <c r="BR288" s="14"/>
      <c r="BS288" s="14"/>
      <c r="BT288" s="14"/>
      <c r="BU288" s="14"/>
      <c r="BV288" s="14"/>
      <c r="CF288" s="3"/>
      <c r="CG288" s="12"/>
      <c r="CH288" s="12"/>
      <c r="CI288" s="12"/>
      <c r="CJ288" s="12"/>
      <c r="CK288" s="12"/>
      <c r="CL288" s="12"/>
    </row>
    <row r="289" spans="4:90" x14ac:dyDescent="0.3">
      <c r="D289" s="3"/>
      <c r="E289" s="12"/>
      <c r="F289" s="12"/>
      <c r="G289" s="12"/>
      <c r="H289" s="12"/>
      <c r="I289" s="12"/>
      <c r="J289" s="12"/>
      <c r="T289" s="7"/>
      <c r="U289" s="14"/>
      <c r="V289" s="14"/>
      <c r="W289" s="14"/>
      <c r="X289" s="14"/>
      <c r="Y289" s="14"/>
      <c r="Z289" s="14"/>
      <c r="AJ289" s="3"/>
      <c r="AK289" s="12"/>
      <c r="AL289" s="12"/>
      <c r="AM289" s="12"/>
      <c r="AN289" s="12"/>
      <c r="AO289" s="12"/>
      <c r="AP289" s="12"/>
      <c r="AZ289" s="3"/>
      <c r="BA289" s="12"/>
      <c r="BB289" s="12"/>
      <c r="BC289" s="12"/>
      <c r="BD289" s="12"/>
      <c r="BE289" s="12"/>
      <c r="BF289" s="12"/>
      <c r="BP289" s="7"/>
      <c r="BQ289" s="14"/>
      <c r="BR289" s="14"/>
      <c r="BS289" s="14"/>
      <c r="BT289" s="14"/>
      <c r="BU289" s="14"/>
      <c r="BV289" s="14"/>
      <c r="CF289" s="3"/>
      <c r="CG289" s="12"/>
      <c r="CH289" s="12"/>
      <c r="CI289" s="12"/>
      <c r="CJ289" s="12"/>
      <c r="CK289" s="12"/>
      <c r="CL289" s="12"/>
    </row>
    <row r="290" spans="4:90" x14ac:dyDescent="0.3">
      <c r="D290" s="3"/>
      <c r="E290" s="12"/>
      <c r="F290" s="12"/>
      <c r="G290" s="12"/>
      <c r="H290" s="12"/>
      <c r="I290" s="12"/>
      <c r="J290" s="12"/>
      <c r="T290" s="7"/>
      <c r="U290" s="14"/>
      <c r="V290" s="14"/>
      <c r="W290" s="14"/>
      <c r="X290" s="14"/>
      <c r="Y290" s="14"/>
      <c r="Z290" s="14"/>
      <c r="AJ290" s="3"/>
      <c r="AK290" s="12"/>
      <c r="AL290" s="12"/>
      <c r="AM290" s="12"/>
      <c r="AN290" s="12"/>
      <c r="AO290" s="12"/>
      <c r="AP290" s="12"/>
      <c r="AZ290" s="3"/>
      <c r="BA290" s="12"/>
      <c r="BB290" s="12"/>
      <c r="BC290" s="12"/>
      <c r="BD290" s="12"/>
      <c r="BE290" s="12"/>
      <c r="BF290" s="12"/>
      <c r="BP290" s="7"/>
      <c r="BQ290" s="14"/>
      <c r="BR290" s="14"/>
      <c r="BS290" s="14"/>
      <c r="BT290" s="14"/>
      <c r="BU290" s="14"/>
      <c r="BV290" s="14"/>
      <c r="CF290" s="3"/>
      <c r="CG290" s="12"/>
      <c r="CH290" s="12"/>
      <c r="CI290" s="12"/>
      <c r="CJ290" s="12"/>
      <c r="CK290" s="12"/>
      <c r="CL290" s="12"/>
    </row>
    <row r="291" spans="4:90" x14ac:dyDescent="0.3">
      <c r="D291" s="3"/>
      <c r="E291" s="12"/>
      <c r="F291" s="12"/>
      <c r="G291" s="12"/>
      <c r="H291" s="12"/>
      <c r="I291" s="12"/>
      <c r="J291" s="12"/>
      <c r="T291" s="7"/>
      <c r="U291" s="14"/>
      <c r="V291" s="14"/>
      <c r="W291" s="14"/>
      <c r="X291" s="14"/>
      <c r="Y291" s="14"/>
      <c r="Z291" s="14"/>
      <c r="AJ291" s="3"/>
      <c r="AK291" s="12"/>
      <c r="AL291" s="12"/>
      <c r="AM291" s="12"/>
      <c r="AN291" s="12"/>
      <c r="AO291" s="12"/>
      <c r="AP291" s="12"/>
      <c r="AZ291" s="3"/>
      <c r="BA291" s="12"/>
      <c r="BB291" s="12"/>
      <c r="BC291" s="12"/>
      <c r="BD291" s="12"/>
      <c r="BE291" s="12"/>
      <c r="BF291" s="12"/>
      <c r="BP291" s="7"/>
      <c r="BQ291" s="14"/>
      <c r="BR291" s="14"/>
      <c r="BS291" s="14"/>
      <c r="BT291" s="14"/>
      <c r="BU291" s="14"/>
      <c r="BV291" s="14"/>
      <c r="CF291" s="3"/>
      <c r="CG291" s="12"/>
      <c r="CH291" s="12"/>
      <c r="CI291" s="12"/>
      <c r="CJ291" s="12"/>
      <c r="CK291" s="12"/>
      <c r="CL291" s="12"/>
    </row>
    <row r="292" spans="4:90" x14ac:dyDescent="0.3">
      <c r="D292" s="3"/>
      <c r="E292" s="12"/>
      <c r="F292" s="12"/>
      <c r="G292" s="12"/>
      <c r="H292" s="12"/>
      <c r="I292" s="12"/>
      <c r="J292" s="12"/>
      <c r="T292" s="7"/>
      <c r="U292" s="14"/>
      <c r="V292" s="14"/>
      <c r="W292" s="14"/>
      <c r="X292" s="14"/>
      <c r="Y292" s="14"/>
      <c r="Z292" s="14"/>
      <c r="AJ292" s="3"/>
      <c r="AK292" s="12"/>
      <c r="AL292" s="12"/>
      <c r="AM292" s="12"/>
      <c r="AN292" s="12"/>
      <c r="AO292" s="12"/>
      <c r="AP292" s="12"/>
      <c r="AZ292" s="3"/>
      <c r="BA292" s="12"/>
      <c r="BB292" s="12"/>
      <c r="BC292" s="12"/>
      <c r="BD292" s="12"/>
      <c r="BE292" s="12"/>
      <c r="BF292" s="12"/>
      <c r="BP292" s="7"/>
      <c r="BQ292" s="14"/>
      <c r="BR292" s="14"/>
      <c r="BS292" s="14"/>
      <c r="BT292" s="14"/>
      <c r="BU292" s="14"/>
      <c r="BV292" s="14"/>
      <c r="CF292" s="3"/>
      <c r="CG292" s="12"/>
      <c r="CH292" s="12"/>
      <c r="CI292" s="12"/>
      <c r="CJ292" s="12"/>
      <c r="CK292" s="12"/>
      <c r="CL292" s="12"/>
    </row>
    <row r="293" spans="4:90" x14ac:dyDescent="0.3">
      <c r="D293" s="3"/>
      <c r="E293" s="12"/>
      <c r="F293" s="12"/>
      <c r="G293" s="12"/>
      <c r="H293" s="12"/>
      <c r="I293" s="12"/>
      <c r="J293" s="12"/>
      <c r="T293" s="7"/>
      <c r="U293" s="14"/>
      <c r="V293" s="14"/>
      <c r="W293" s="14"/>
      <c r="X293" s="14"/>
      <c r="Y293" s="14"/>
      <c r="Z293" s="14"/>
      <c r="AJ293" s="3"/>
      <c r="AK293" s="12"/>
      <c r="AL293" s="12"/>
      <c r="AM293" s="12"/>
      <c r="AN293" s="12"/>
      <c r="AO293" s="12"/>
      <c r="AP293" s="12"/>
      <c r="AZ293" s="3"/>
      <c r="BA293" s="12"/>
      <c r="BB293" s="12"/>
      <c r="BC293" s="12"/>
      <c r="BD293" s="12"/>
      <c r="BE293" s="12"/>
      <c r="BF293" s="12"/>
      <c r="BP293" s="7"/>
      <c r="BQ293" s="14"/>
      <c r="BR293" s="14"/>
      <c r="BS293" s="14"/>
      <c r="BT293" s="14"/>
      <c r="BU293" s="14"/>
      <c r="BV293" s="14"/>
      <c r="CF293" s="3"/>
      <c r="CG293" s="12"/>
      <c r="CH293" s="12"/>
      <c r="CI293" s="12"/>
      <c r="CJ293" s="12"/>
      <c r="CK293" s="12"/>
      <c r="CL293" s="12"/>
    </row>
    <row r="294" spans="4:90" x14ac:dyDescent="0.3">
      <c r="D294" s="3"/>
      <c r="E294" s="12"/>
      <c r="F294" s="12"/>
      <c r="G294" s="12"/>
      <c r="H294" s="12"/>
      <c r="I294" s="12"/>
      <c r="J294" s="12"/>
      <c r="T294" s="7"/>
      <c r="U294" s="14"/>
      <c r="V294" s="14"/>
      <c r="W294" s="14"/>
      <c r="X294" s="14"/>
      <c r="Y294" s="14"/>
      <c r="Z294" s="14"/>
      <c r="AJ294" s="3"/>
      <c r="AK294" s="12"/>
      <c r="AL294" s="12"/>
      <c r="AM294" s="12"/>
      <c r="AN294" s="12"/>
      <c r="AO294" s="12"/>
      <c r="AP294" s="12"/>
      <c r="AZ294" s="3"/>
      <c r="BA294" s="12"/>
      <c r="BB294" s="12"/>
      <c r="BC294" s="12"/>
      <c r="BD294" s="12"/>
      <c r="BE294" s="12"/>
      <c r="BF294" s="12"/>
      <c r="BP294" s="7"/>
      <c r="BQ294" s="14"/>
      <c r="BR294" s="14"/>
      <c r="BS294" s="14"/>
      <c r="BT294" s="14"/>
      <c r="BU294" s="14"/>
      <c r="BV294" s="14"/>
      <c r="CF294" s="3"/>
      <c r="CG294" s="12"/>
      <c r="CH294" s="12"/>
      <c r="CI294" s="12"/>
      <c r="CJ294" s="12"/>
      <c r="CK294" s="12"/>
      <c r="CL294" s="12"/>
    </row>
    <row r="295" spans="4:90" x14ac:dyDescent="0.3">
      <c r="D295" s="3"/>
      <c r="E295" s="12"/>
      <c r="F295" s="12"/>
      <c r="G295" s="12"/>
      <c r="H295" s="12"/>
      <c r="I295" s="12"/>
      <c r="J295" s="12"/>
      <c r="T295" s="7"/>
      <c r="U295" s="14"/>
      <c r="V295" s="14"/>
      <c r="W295" s="14"/>
      <c r="X295" s="14"/>
      <c r="Y295" s="14"/>
      <c r="Z295" s="14"/>
      <c r="AJ295" s="3"/>
      <c r="AK295" s="12"/>
      <c r="AL295" s="12"/>
      <c r="AM295" s="12"/>
      <c r="AN295" s="12"/>
      <c r="AO295" s="12"/>
      <c r="AP295" s="12"/>
      <c r="AZ295" s="3"/>
      <c r="BA295" s="12"/>
      <c r="BB295" s="12"/>
      <c r="BC295" s="12"/>
      <c r="BD295" s="12"/>
      <c r="BE295" s="12"/>
      <c r="BF295" s="12"/>
      <c r="BP295" s="7"/>
      <c r="BQ295" s="14"/>
      <c r="BR295" s="14"/>
      <c r="BS295" s="14"/>
      <c r="BT295" s="14"/>
      <c r="BU295" s="14"/>
      <c r="BV295" s="14"/>
      <c r="CF295" s="3"/>
      <c r="CG295" s="12"/>
      <c r="CH295" s="12"/>
      <c r="CI295" s="12"/>
      <c r="CJ295" s="12"/>
      <c r="CK295" s="12"/>
      <c r="CL295" s="12"/>
    </row>
    <row r="296" spans="4:90" x14ac:dyDescent="0.3">
      <c r="D296" s="3"/>
      <c r="E296" s="12"/>
      <c r="F296" s="12"/>
      <c r="G296" s="12"/>
      <c r="H296" s="12"/>
      <c r="I296" s="12"/>
      <c r="J296" s="12"/>
      <c r="T296" s="7"/>
      <c r="U296" s="14"/>
      <c r="V296" s="14"/>
      <c r="W296" s="14"/>
      <c r="X296" s="14"/>
      <c r="Y296" s="14"/>
      <c r="Z296" s="14"/>
      <c r="AJ296" s="3"/>
      <c r="AK296" s="12"/>
      <c r="AL296" s="12"/>
      <c r="AM296" s="12"/>
      <c r="AN296" s="12"/>
      <c r="AO296" s="12"/>
      <c r="AP296" s="12"/>
      <c r="AZ296" s="3"/>
      <c r="BA296" s="12"/>
      <c r="BB296" s="12"/>
      <c r="BC296" s="12"/>
      <c r="BD296" s="12"/>
      <c r="BE296" s="12"/>
      <c r="BF296" s="12"/>
      <c r="BP296" s="7"/>
      <c r="BQ296" s="14"/>
      <c r="BR296" s="14"/>
      <c r="BS296" s="14"/>
      <c r="BT296" s="14"/>
      <c r="BU296" s="14"/>
      <c r="BV296" s="14"/>
      <c r="CF296" s="3"/>
      <c r="CG296" s="12"/>
      <c r="CH296" s="12"/>
      <c r="CI296" s="12"/>
      <c r="CJ296" s="12"/>
      <c r="CK296" s="12"/>
      <c r="CL296" s="12"/>
    </row>
    <row r="297" spans="4:90" x14ac:dyDescent="0.3">
      <c r="D297" s="3"/>
      <c r="E297" s="12"/>
      <c r="F297" s="12"/>
      <c r="G297" s="12"/>
      <c r="H297" s="12"/>
      <c r="I297" s="12"/>
      <c r="J297" s="12"/>
      <c r="T297" s="7"/>
      <c r="U297" s="14"/>
      <c r="V297" s="14"/>
      <c r="W297" s="14"/>
      <c r="X297" s="14"/>
      <c r="Y297" s="14"/>
      <c r="Z297" s="14"/>
      <c r="AJ297" s="3"/>
      <c r="AK297" s="12"/>
      <c r="AL297" s="12"/>
      <c r="AM297" s="12"/>
      <c r="AN297" s="12"/>
      <c r="AO297" s="12"/>
      <c r="AP297" s="12"/>
      <c r="AZ297" s="3"/>
      <c r="BA297" s="12"/>
      <c r="BB297" s="12"/>
      <c r="BC297" s="12"/>
      <c r="BD297" s="12"/>
      <c r="BE297" s="12"/>
      <c r="BF297" s="12"/>
      <c r="BP297" s="7"/>
      <c r="BQ297" s="14"/>
      <c r="BR297" s="14"/>
      <c r="BS297" s="14"/>
      <c r="BT297" s="14"/>
      <c r="BU297" s="14"/>
      <c r="BV297" s="14"/>
      <c r="CF297" s="3"/>
      <c r="CG297" s="12"/>
      <c r="CH297" s="12"/>
      <c r="CI297" s="12"/>
      <c r="CJ297" s="12"/>
      <c r="CK297" s="12"/>
      <c r="CL297" s="12"/>
    </row>
    <row r="298" spans="4:90" x14ac:dyDescent="0.3">
      <c r="D298" s="3"/>
      <c r="E298" s="12"/>
      <c r="F298" s="12"/>
      <c r="G298" s="12"/>
      <c r="H298" s="12"/>
      <c r="I298" s="12"/>
      <c r="J298" s="12"/>
      <c r="T298" s="7"/>
      <c r="U298" s="14"/>
      <c r="V298" s="14"/>
      <c r="W298" s="14"/>
      <c r="X298" s="14"/>
      <c r="Y298" s="14"/>
      <c r="Z298" s="14"/>
      <c r="AJ298" s="3"/>
      <c r="AK298" s="12"/>
      <c r="AL298" s="12"/>
      <c r="AM298" s="12"/>
      <c r="AN298" s="12"/>
      <c r="AO298" s="12"/>
      <c r="AP298" s="12"/>
      <c r="AZ298" s="3"/>
      <c r="BA298" s="12"/>
      <c r="BB298" s="12"/>
      <c r="BC298" s="12"/>
      <c r="BD298" s="12"/>
      <c r="BE298" s="12"/>
      <c r="BF298" s="12"/>
      <c r="BP298" s="7"/>
      <c r="BQ298" s="14"/>
      <c r="BR298" s="14"/>
      <c r="BS298" s="14"/>
      <c r="BT298" s="14"/>
      <c r="BU298" s="14"/>
      <c r="BV298" s="14"/>
      <c r="CF298" s="3"/>
      <c r="CG298" s="12"/>
      <c r="CH298" s="12"/>
      <c r="CI298" s="12"/>
      <c r="CJ298" s="12"/>
      <c r="CK298" s="12"/>
      <c r="CL298" s="12"/>
    </row>
    <row r="299" spans="4:90" x14ac:dyDescent="0.3">
      <c r="D299" s="3"/>
      <c r="E299" s="12"/>
      <c r="F299" s="12"/>
      <c r="G299" s="12"/>
      <c r="H299" s="12"/>
      <c r="I299" s="12"/>
      <c r="J299" s="12"/>
      <c r="T299" s="7"/>
      <c r="U299" s="14"/>
      <c r="V299" s="14"/>
      <c r="W299" s="14"/>
      <c r="X299" s="14"/>
      <c r="Y299" s="14"/>
      <c r="Z299" s="14"/>
      <c r="AJ299" s="3"/>
      <c r="AK299" s="12"/>
      <c r="AL299" s="12"/>
      <c r="AM299" s="12"/>
      <c r="AN299" s="12"/>
      <c r="AO299" s="12"/>
      <c r="AP299" s="12"/>
      <c r="AZ299" s="3"/>
      <c r="BA299" s="12"/>
      <c r="BB299" s="12"/>
      <c r="BC299" s="12"/>
      <c r="BD299" s="12"/>
      <c r="BE299" s="12"/>
      <c r="BF299" s="12"/>
      <c r="BP299" s="7"/>
      <c r="BQ299" s="14"/>
      <c r="BR299" s="14"/>
      <c r="BS299" s="14"/>
      <c r="BT299" s="14"/>
      <c r="BU299" s="14"/>
      <c r="BV299" s="14"/>
      <c r="CF299" s="3"/>
      <c r="CG299" s="12"/>
      <c r="CH299" s="12"/>
      <c r="CI299" s="12"/>
      <c r="CJ299" s="12"/>
      <c r="CK299" s="12"/>
      <c r="CL299" s="12"/>
    </row>
    <row r="300" spans="4:90" x14ac:dyDescent="0.3">
      <c r="D300" s="3"/>
      <c r="E300" s="12"/>
      <c r="F300" s="12"/>
      <c r="G300" s="12"/>
      <c r="H300" s="12"/>
      <c r="I300" s="12"/>
      <c r="J300" s="12"/>
      <c r="T300" s="7"/>
      <c r="U300" s="14"/>
      <c r="V300" s="14"/>
      <c r="W300" s="14"/>
      <c r="X300" s="14"/>
      <c r="Y300" s="14"/>
      <c r="Z300" s="14"/>
      <c r="AJ300" s="3"/>
      <c r="AK300" s="12"/>
      <c r="AL300" s="12"/>
      <c r="AM300" s="12"/>
      <c r="AN300" s="12"/>
      <c r="AO300" s="12"/>
      <c r="AP300" s="12"/>
      <c r="AZ300" s="3"/>
      <c r="BA300" s="12"/>
      <c r="BB300" s="12"/>
      <c r="BC300" s="12"/>
      <c r="BD300" s="12"/>
      <c r="BE300" s="12"/>
      <c r="BF300" s="12"/>
      <c r="BP300" s="7"/>
      <c r="BQ300" s="14"/>
      <c r="BR300" s="14"/>
      <c r="BS300" s="14"/>
      <c r="BT300" s="14"/>
      <c r="BU300" s="14"/>
      <c r="BV300" s="14"/>
      <c r="CF300" s="3"/>
      <c r="CG300" s="12"/>
      <c r="CH300" s="12"/>
      <c r="CI300" s="12"/>
      <c r="CJ300" s="12"/>
      <c r="CK300" s="12"/>
      <c r="CL300" s="12"/>
    </row>
    <row r="301" spans="4:90" x14ac:dyDescent="0.3">
      <c r="D301" s="3"/>
      <c r="E301" s="12"/>
      <c r="F301" s="12"/>
      <c r="G301" s="12"/>
      <c r="H301" s="12"/>
      <c r="I301" s="12"/>
      <c r="J301" s="12"/>
      <c r="T301" s="7"/>
      <c r="U301" s="14"/>
      <c r="V301" s="14"/>
      <c r="W301" s="14"/>
      <c r="X301" s="14"/>
      <c r="Y301" s="14"/>
      <c r="Z301" s="14"/>
      <c r="AJ301" s="3"/>
      <c r="AK301" s="12"/>
      <c r="AL301" s="12"/>
      <c r="AM301" s="12"/>
      <c r="AN301" s="12"/>
      <c r="AO301" s="12"/>
      <c r="AP301" s="12"/>
      <c r="AZ301" s="3"/>
      <c r="BA301" s="12"/>
      <c r="BB301" s="12"/>
      <c r="BC301" s="12"/>
      <c r="BD301" s="12"/>
      <c r="BE301" s="12"/>
      <c r="BF301" s="12"/>
      <c r="BP301" s="7"/>
      <c r="BQ301" s="14"/>
      <c r="BR301" s="14"/>
      <c r="BS301" s="14"/>
      <c r="BT301" s="14"/>
      <c r="BU301" s="14"/>
      <c r="BV301" s="14"/>
      <c r="CF301" s="3"/>
      <c r="CG301" s="12"/>
      <c r="CH301" s="12"/>
      <c r="CI301" s="12"/>
      <c r="CJ301" s="12"/>
      <c r="CK301" s="12"/>
      <c r="CL301" s="12"/>
    </row>
    <row r="302" spans="4:90" x14ac:dyDescent="0.3">
      <c r="D302" s="3"/>
      <c r="E302" s="12"/>
      <c r="F302" s="12"/>
      <c r="G302" s="12"/>
      <c r="H302" s="12"/>
      <c r="I302" s="12"/>
      <c r="J302" s="12"/>
      <c r="T302" s="7"/>
      <c r="U302" s="14"/>
      <c r="V302" s="14"/>
      <c r="W302" s="14"/>
      <c r="X302" s="14"/>
      <c r="Y302" s="14"/>
      <c r="Z302" s="14"/>
      <c r="AJ302" s="3"/>
      <c r="AK302" s="12"/>
      <c r="AL302" s="12"/>
      <c r="AM302" s="12"/>
      <c r="AN302" s="12"/>
      <c r="AO302" s="12"/>
      <c r="AP302" s="12"/>
      <c r="AZ302" s="3"/>
      <c r="BA302" s="12"/>
      <c r="BB302" s="12"/>
      <c r="BC302" s="12"/>
      <c r="BD302" s="12"/>
      <c r="BE302" s="12"/>
      <c r="BF302" s="12"/>
      <c r="BP302" s="7"/>
      <c r="BQ302" s="14"/>
      <c r="BR302" s="14"/>
      <c r="BS302" s="14"/>
      <c r="BT302" s="14"/>
      <c r="BU302" s="14"/>
      <c r="BV302" s="14"/>
      <c r="CF302" s="3"/>
      <c r="CG302" s="12"/>
      <c r="CH302" s="12"/>
      <c r="CI302" s="12"/>
      <c r="CJ302" s="12"/>
      <c r="CK302" s="12"/>
      <c r="CL302" s="12"/>
    </row>
    <row r="303" spans="4:90" x14ac:dyDescent="0.3">
      <c r="D303" s="3"/>
      <c r="E303" s="12"/>
      <c r="F303" s="12"/>
      <c r="G303" s="12"/>
      <c r="H303" s="12"/>
      <c r="I303" s="12"/>
      <c r="J303" s="12"/>
      <c r="T303" s="7"/>
      <c r="U303" s="14"/>
      <c r="V303" s="14"/>
      <c r="W303" s="14"/>
      <c r="X303" s="14"/>
      <c r="Y303" s="14"/>
      <c r="Z303" s="14"/>
      <c r="AJ303" s="3"/>
      <c r="AK303" s="12"/>
      <c r="AL303" s="12"/>
      <c r="AM303" s="12"/>
      <c r="AN303" s="12"/>
      <c r="AO303" s="12"/>
      <c r="AP303" s="12"/>
      <c r="AZ303" s="3"/>
      <c r="BA303" s="12"/>
      <c r="BB303" s="12"/>
      <c r="BC303" s="12"/>
      <c r="BD303" s="12"/>
      <c r="BE303" s="12"/>
      <c r="BF303" s="12"/>
      <c r="BP303" s="7"/>
      <c r="BQ303" s="14"/>
      <c r="BR303" s="14"/>
      <c r="BS303" s="14"/>
      <c r="BT303" s="14"/>
      <c r="BU303" s="14"/>
      <c r="BV303" s="14"/>
      <c r="CF303" s="3"/>
      <c r="CG303" s="12"/>
      <c r="CH303" s="12"/>
      <c r="CI303" s="12"/>
      <c r="CJ303" s="12"/>
      <c r="CK303" s="12"/>
      <c r="CL303" s="12"/>
    </row>
    <row r="304" spans="4:90" x14ac:dyDescent="0.3">
      <c r="D304" s="3"/>
      <c r="E304" s="12"/>
      <c r="F304" s="12"/>
      <c r="G304" s="12"/>
      <c r="H304" s="12"/>
      <c r="I304" s="12"/>
      <c r="J304" s="12"/>
      <c r="T304" s="7"/>
      <c r="U304" s="14"/>
      <c r="V304" s="14"/>
      <c r="W304" s="14"/>
      <c r="X304" s="14"/>
      <c r="Y304" s="14"/>
      <c r="Z304" s="14"/>
      <c r="AJ304" s="3"/>
      <c r="AK304" s="12"/>
      <c r="AL304" s="12"/>
      <c r="AM304" s="12"/>
      <c r="AN304" s="12"/>
      <c r="AO304" s="12"/>
      <c r="AP304" s="12"/>
      <c r="AZ304" s="3"/>
      <c r="BA304" s="12"/>
      <c r="BB304" s="12"/>
      <c r="BC304" s="12"/>
      <c r="BD304" s="12"/>
      <c r="BE304" s="12"/>
      <c r="BF304" s="12"/>
      <c r="BP304" s="7"/>
      <c r="BQ304" s="14"/>
      <c r="BR304" s="14"/>
      <c r="BS304" s="14"/>
      <c r="BT304" s="14"/>
      <c r="BU304" s="14"/>
      <c r="BV304" s="14"/>
      <c r="CF304" s="3"/>
      <c r="CG304" s="12"/>
      <c r="CH304" s="12"/>
      <c r="CI304" s="12"/>
      <c r="CJ304" s="12"/>
      <c r="CK304" s="12"/>
      <c r="CL304" s="12"/>
    </row>
    <row r="305" spans="4:90" x14ac:dyDescent="0.3">
      <c r="D305" s="3"/>
      <c r="E305" s="12"/>
      <c r="F305" s="12"/>
      <c r="G305" s="12"/>
      <c r="H305" s="12"/>
      <c r="I305" s="12"/>
      <c r="J305" s="12"/>
      <c r="T305" s="7"/>
      <c r="U305" s="14"/>
      <c r="V305" s="14"/>
      <c r="W305" s="14"/>
      <c r="X305" s="14"/>
      <c r="Y305" s="14"/>
      <c r="Z305" s="14"/>
      <c r="AJ305" s="3"/>
      <c r="AK305" s="12"/>
      <c r="AL305" s="12"/>
      <c r="AM305" s="12"/>
      <c r="AN305" s="12"/>
      <c r="AO305" s="12"/>
      <c r="AP305" s="12"/>
      <c r="AZ305" s="3"/>
      <c r="BA305" s="12"/>
      <c r="BB305" s="12"/>
      <c r="BC305" s="12"/>
      <c r="BD305" s="12"/>
      <c r="BE305" s="12"/>
      <c r="BF305" s="12"/>
      <c r="BP305" s="7"/>
      <c r="BQ305" s="14"/>
      <c r="BR305" s="14"/>
      <c r="BS305" s="14"/>
      <c r="BT305" s="14"/>
      <c r="BU305" s="14"/>
      <c r="BV305" s="14"/>
      <c r="CF305" s="3"/>
      <c r="CG305" s="12"/>
      <c r="CH305" s="12"/>
      <c r="CI305" s="12"/>
      <c r="CJ305" s="12"/>
      <c r="CK305" s="12"/>
      <c r="CL305" s="12"/>
    </row>
    <row r="306" spans="4:90" x14ac:dyDescent="0.3">
      <c r="D306" s="3"/>
      <c r="E306" s="12"/>
      <c r="F306" s="12"/>
      <c r="G306" s="12"/>
      <c r="H306" s="12"/>
      <c r="I306" s="12"/>
      <c r="J306" s="12"/>
      <c r="T306" s="7"/>
      <c r="U306" s="14"/>
      <c r="V306" s="14"/>
      <c r="W306" s="14"/>
      <c r="X306" s="14"/>
      <c r="Y306" s="14"/>
      <c r="Z306" s="14"/>
      <c r="AJ306" s="3"/>
      <c r="AK306" s="12"/>
      <c r="AL306" s="12"/>
      <c r="AM306" s="12"/>
      <c r="AN306" s="12"/>
      <c r="AO306" s="12"/>
      <c r="AP306" s="12"/>
      <c r="AZ306" s="3"/>
      <c r="BA306" s="12"/>
      <c r="BB306" s="12"/>
      <c r="BC306" s="12"/>
      <c r="BD306" s="12"/>
      <c r="BE306" s="12"/>
      <c r="BF306" s="12"/>
      <c r="BP306" s="7"/>
      <c r="BQ306" s="14"/>
      <c r="BR306" s="14"/>
      <c r="BS306" s="14"/>
      <c r="BT306" s="14"/>
      <c r="BU306" s="14"/>
      <c r="BV306" s="14"/>
      <c r="CF306" s="3"/>
      <c r="CG306" s="12"/>
      <c r="CH306" s="12"/>
      <c r="CI306" s="12"/>
      <c r="CJ306" s="12"/>
      <c r="CK306" s="12"/>
      <c r="CL306" s="12"/>
    </row>
    <row r="307" spans="4:90" x14ac:dyDescent="0.3">
      <c r="D307" s="3"/>
      <c r="E307" s="12"/>
      <c r="F307" s="12"/>
      <c r="G307" s="12"/>
      <c r="H307" s="12"/>
      <c r="I307" s="12"/>
      <c r="J307" s="12"/>
      <c r="T307" s="7"/>
      <c r="U307" s="14"/>
      <c r="V307" s="14"/>
      <c r="W307" s="14"/>
      <c r="X307" s="14"/>
      <c r="Y307" s="14"/>
      <c r="Z307" s="14"/>
      <c r="AJ307" s="3"/>
      <c r="AK307" s="12"/>
      <c r="AL307" s="12"/>
      <c r="AM307" s="12"/>
      <c r="AN307" s="12"/>
      <c r="AO307" s="12"/>
      <c r="AP307" s="12"/>
      <c r="AZ307" s="3"/>
      <c r="BA307" s="12"/>
      <c r="BB307" s="12"/>
      <c r="BC307" s="12"/>
      <c r="BD307" s="12"/>
      <c r="BE307" s="12"/>
      <c r="BF307" s="12"/>
      <c r="BP307" s="7"/>
      <c r="BQ307" s="14"/>
      <c r="BR307" s="14"/>
      <c r="BS307" s="14"/>
      <c r="BT307" s="14"/>
      <c r="BU307" s="14"/>
      <c r="BV307" s="14"/>
      <c r="CF307" s="3"/>
      <c r="CG307" s="12"/>
      <c r="CH307" s="12"/>
      <c r="CI307" s="12"/>
      <c r="CJ307" s="12"/>
      <c r="CK307" s="12"/>
      <c r="CL307" s="12"/>
    </row>
    <row r="308" spans="4:90" x14ac:dyDescent="0.3">
      <c r="D308" s="3"/>
      <c r="E308" s="12"/>
      <c r="F308" s="12"/>
      <c r="G308" s="12"/>
      <c r="H308" s="12"/>
      <c r="I308" s="12"/>
      <c r="J308" s="12"/>
      <c r="T308" s="7"/>
      <c r="U308" s="14"/>
      <c r="V308" s="14"/>
      <c r="W308" s="14"/>
      <c r="X308" s="14"/>
      <c r="Y308" s="14"/>
      <c r="Z308" s="14"/>
      <c r="AJ308" s="3"/>
      <c r="AK308" s="12"/>
      <c r="AL308" s="12"/>
      <c r="AM308" s="12"/>
      <c r="AN308" s="12"/>
      <c r="AO308" s="12"/>
      <c r="AP308" s="12"/>
      <c r="AZ308" s="3"/>
      <c r="BA308" s="12"/>
      <c r="BB308" s="12"/>
      <c r="BC308" s="12"/>
      <c r="BD308" s="12"/>
      <c r="BE308" s="12"/>
      <c r="BF308" s="12"/>
      <c r="BP308" s="7"/>
      <c r="BQ308" s="14"/>
      <c r="BR308" s="14"/>
      <c r="BS308" s="14"/>
      <c r="BT308" s="14"/>
      <c r="BU308" s="14"/>
      <c r="BV308" s="14"/>
      <c r="CF308" s="3"/>
      <c r="CG308" s="12"/>
      <c r="CH308" s="12"/>
      <c r="CI308" s="12"/>
      <c r="CJ308" s="12"/>
      <c r="CK308" s="12"/>
      <c r="CL308" s="12"/>
    </row>
    <row r="309" spans="4:90" x14ac:dyDescent="0.3">
      <c r="D309" s="3"/>
      <c r="E309" s="12"/>
      <c r="F309" s="12"/>
      <c r="G309" s="12"/>
      <c r="H309" s="12"/>
      <c r="I309" s="12"/>
      <c r="J309" s="12"/>
      <c r="T309" s="7"/>
      <c r="U309" s="14"/>
      <c r="V309" s="14"/>
      <c r="W309" s="14"/>
      <c r="X309" s="14"/>
      <c r="Y309" s="14"/>
      <c r="Z309" s="14"/>
      <c r="AJ309" s="3"/>
      <c r="AK309" s="12"/>
      <c r="AL309" s="12"/>
      <c r="AM309" s="12"/>
      <c r="AN309" s="12"/>
      <c r="AO309" s="12"/>
      <c r="AP309" s="12"/>
      <c r="AZ309" s="3"/>
      <c r="BA309" s="12"/>
      <c r="BB309" s="12"/>
      <c r="BC309" s="12"/>
      <c r="BD309" s="12"/>
      <c r="BE309" s="12"/>
      <c r="BF309" s="12"/>
      <c r="BP309" s="7"/>
      <c r="BQ309" s="14"/>
      <c r="BR309" s="14"/>
      <c r="BS309" s="14"/>
      <c r="BT309" s="14"/>
      <c r="BU309" s="14"/>
      <c r="BV309" s="14"/>
      <c r="CF309" s="3"/>
      <c r="CG309" s="12"/>
      <c r="CH309" s="12"/>
      <c r="CI309" s="12"/>
      <c r="CJ309" s="12"/>
      <c r="CK309" s="12"/>
      <c r="CL309" s="12"/>
    </row>
    <row r="310" spans="4:90" x14ac:dyDescent="0.3">
      <c r="D310" s="3"/>
      <c r="E310" s="12"/>
      <c r="F310" s="12"/>
      <c r="G310" s="12"/>
      <c r="H310" s="12"/>
      <c r="I310" s="12"/>
      <c r="J310" s="12"/>
      <c r="T310" s="7"/>
      <c r="U310" s="14"/>
      <c r="V310" s="14"/>
      <c r="W310" s="14"/>
      <c r="X310" s="14"/>
      <c r="Y310" s="14"/>
      <c r="Z310" s="14"/>
      <c r="AJ310" s="3"/>
      <c r="AK310" s="12"/>
      <c r="AL310" s="12"/>
      <c r="AM310" s="12"/>
      <c r="AN310" s="12"/>
      <c r="AO310" s="12"/>
      <c r="AP310" s="12"/>
      <c r="AZ310" s="3"/>
      <c r="BA310" s="12"/>
      <c r="BB310" s="12"/>
      <c r="BC310" s="12"/>
      <c r="BD310" s="12"/>
      <c r="BE310" s="12"/>
      <c r="BF310" s="12"/>
      <c r="BP310" s="7"/>
      <c r="BQ310" s="14"/>
      <c r="BR310" s="14"/>
      <c r="BS310" s="14"/>
      <c r="BT310" s="14"/>
      <c r="BU310" s="14"/>
      <c r="BV310" s="14"/>
      <c r="CF310" s="3"/>
      <c r="CG310" s="12"/>
      <c r="CH310" s="12"/>
      <c r="CI310" s="12"/>
      <c r="CJ310" s="12"/>
      <c r="CK310" s="12"/>
      <c r="CL310" s="12"/>
    </row>
    <row r="311" spans="4:90" x14ac:dyDescent="0.3">
      <c r="D311" s="3"/>
      <c r="E311" s="12"/>
      <c r="F311" s="12"/>
      <c r="G311" s="12"/>
      <c r="H311" s="12"/>
      <c r="I311" s="12"/>
      <c r="J311" s="12"/>
      <c r="T311" s="7"/>
      <c r="U311" s="14"/>
      <c r="V311" s="14"/>
      <c r="W311" s="14"/>
      <c r="X311" s="14"/>
      <c r="Y311" s="14"/>
      <c r="Z311" s="14"/>
      <c r="AJ311" s="3"/>
      <c r="AK311" s="12"/>
      <c r="AL311" s="12"/>
      <c r="AM311" s="12"/>
      <c r="AN311" s="12"/>
      <c r="AO311" s="12"/>
      <c r="AP311" s="12"/>
      <c r="AZ311" s="3"/>
      <c r="BA311" s="12"/>
      <c r="BB311" s="12"/>
      <c r="BC311" s="12"/>
      <c r="BD311" s="12"/>
      <c r="BE311" s="12"/>
      <c r="BF311" s="12"/>
      <c r="BP311" s="7"/>
      <c r="BQ311" s="14"/>
      <c r="BR311" s="14"/>
      <c r="BS311" s="14"/>
      <c r="BT311" s="14"/>
      <c r="BU311" s="14"/>
      <c r="BV311" s="14"/>
      <c r="CF311" s="3"/>
      <c r="CG311" s="12"/>
      <c r="CH311" s="12"/>
      <c r="CI311" s="12"/>
      <c r="CJ311" s="12"/>
      <c r="CK311" s="12"/>
      <c r="CL311" s="12"/>
    </row>
    <row r="312" spans="4:90" x14ac:dyDescent="0.3">
      <c r="D312" s="3"/>
      <c r="E312" s="12"/>
      <c r="F312" s="12"/>
      <c r="G312" s="12"/>
      <c r="H312" s="12"/>
      <c r="I312" s="12"/>
      <c r="J312" s="12"/>
      <c r="T312" s="7"/>
      <c r="U312" s="14"/>
      <c r="V312" s="14"/>
      <c r="W312" s="14"/>
      <c r="X312" s="14"/>
      <c r="Y312" s="14"/>
      <c r="Z312" s="14"/>
      <c r="AJ312" s="3"/>
      <c r="AK312" s="12"/>
      <c r="AL312" s="12"/>
      <c r="AM312" s="12"/>
      <c r="AN312" s="12"/>
      <c r="AO312" s="12"/>
      <c r="AP312" s="12"/>
      <c r="AZ312" s="3"/>
      <c r="BA312" s="12"/>
      <c r="BB312" s="12"/>
      <c r="BC312" s="12"/>
      <c r="BD312" s="12"/>
      <c r="BE312" s="12"/>
      <c r="BF312" s="12"/>
      <c r="BP312" s="7"/>
      <c r="BQ312" s="14"/>
      <c r="BR312" s="14"/>
      <c r="BS312" s="14"/>
      <c r="BT312" s="14"/>
      <c r="BU312" s="14"/>
      <c r="BV312" s="14"/>
      <c r="CF312" s="3"/>
      <c r="CG312" s="12"/>
      <c r="CH312" s="12"/>
      <c r="CI312" s="12"/>
      <c r="CJ312" s="12"/>
      <c r="CK312" s="12"/>
      <c r="CL312" s="12"/>
    </row>
    <row r="313" spans="4:90" x14ac:dyDescent="0.3">
      <c r="D313" s="3"/>
      <c r="E313" s="12"/>
      <c r="F313" s="12"/>
      <c r="G313" s="12"/>
      <c r="H313" s="12"/>
      <c r="I313" s="12"/>
      <c r="J313" s="12"/>
      <c r="T313" s="7"/>
      <c r="U313" s="14"/>
      <c r="V313" s="14"/>
      <c r="W313" s="14"/>
      <c r="X313" s="14"/>
      <c r="Y313" s="14"/>
      <c r="Z313" s="14"/>
      <c r="AJ313" s="3"/>
      <c r="AK313" s="12"/>
      <c r="AL313" s="12"/>
      <c r="AM313" s="12"/>
      <c r="AN313" s="12"/>
      <c r="AO313" s="12"/>
      <c r="AP313" s="12"/>
      <c r="AZ313" s="3"/>
      <c r="BA313" s="12"/>
      <c r="BB313" s="12"/>
      <c r="BC313" s="12"/>
      <c r="BD313" s="12"/>
      <c r="BE313" s="12"/>
      <c r="BF313" s="12"/>
      <c r="BP313" s="7"/>
      <c r="BQ313" s="14"/>
      <c r="BR313" s="14"/>
      <c r="BS313" s="14"/>
      <c r="BT313" s="14"/>
      <c r="BU313" s="14"/>
      <c r="BV313" s="14"/>
      <c r="CF313" s="3"/>
      <c r="CG313" s="12"/>
      <c r="CH313" s="12"/>
      <c r="CI313" s="12"/>
      <c r="CJ313" s="12"/>
      <c r="CK313" s="12"/>
      <c r="CL313" s="12"/>
    </row>
    <row r="314" spans="4:90" x14ac:dyDescent="0.3">
      <c r="D314" s="3"/>
      <c r="E314" s="12"/>
      <c r="F314" s="12"/>
      <c r="G314" s="12"/>
      <c r="H314" s="12"/>
      <c r="I314" s="12"/>
      <c r="J314" s="12"/>
      <c r="T314" s="7"/>
      <c r="U314" s="14"/>
      <c r="V314" s="14"/>
      <c r="W314" s="14"/>
      <c r="X314" s="14"/>
      <c r="Y314" s="14"/>
      <c r="Z314" s="14"/>
      <c r="AJ314" s="3"/>
      <c r="AK314" s="12"/>
      <c r="AL314" s="12"/>
      <c r="AM314" s="12"/>
      <c r="AN314" s="12"/>
      <c r="AO314" s="12"/>
      <c r="AP314" s="12"/>
      <c r="AZ314" s="3"/>
      <c r="BA314" s="12"/>
      <c r="BB314" s="12"/>
      <c r="BC314" s="12"/>
      <c r="BD314" s="12"/>
      <c r="BE314" s="12"/>
      <c r="BF314" s="12"/>
      <c r="BP314" s="7"/>
      <c r="BQ314" s="14"/>
      <c r="BR314" s="14"/>
      <c r="BS314" s="14"/>
      <c r="BT314" s="14"/>
      <c r="BU314" s="14"/>
      <c r="BV314" s="14"/>
      <c r="CF314" s="3"/>
      <c r="CG314" s="12"/>
      <c r="CH314" s="12"/>
      <c r="CI314" s="12"/>
      <c r="CJ314" s="12"/>
      <c r="CK314" s="12"/>
      <c r="CL314" s="12"/>
    </row>
    <row r="315" spans="4:90" x14ac:dyDescent="0.3">
      <c r="D315" s="3"/>
      <c r="E315" s="12"/>
      <c r="F315" s="12"/>
      <c r="G315" s="12"/>
      <c r="H315" s="12"/>
      <c r="I315" s="12"/>
      <c r="J315" s="12"/>
      <c r="T315" s="7"/>
      <c r="U315" s="14"/>
      <c r="V315" s="14"/>
      <c r="W315" s="14"/>
      <c r="X315" s="14"/>
      <c r="Y315" s="14"/>
      <c r="Z315" s="14"/>
      <c r="AJ315" s="3"/>
      <c r="AK315" s="12"/>
      <c r="AL315" s="12"/>
      <c r="AM315" s="12"/>
      <c r="AN315" s="12"/>
      <c r="AO315" s="12"/>
      <c r="AP315" s="12"/>
      <c r="AZ315" s="3"/>
      <c r="BA315" s="12"/>
      <c r="BB315" s="12"/>
      <c r="BC315" s="12"/>
      <c r="BD315" s="12"/>
      <c r="BE315" s="12"/>
      <c r="BF315" s="12"/>
      <c r="BP315" s="7"/>
      <c r="BQ315" s="14"/>
      <c r="BR315" s="14"/>
      <c r="BS315" s="14"/>
      <c r="BT315" s="14"/>
      <c r="BU315" s="14"/>
      <c r="BV315" s="14"/>
      <c r="CF315" s="3"/>
      <c r="CG315" s="12"/>
      <c r="CH315" s="12"/>
      <c r="CI315" s="12"/>
      <c r="CJ315" s="12"/>
      <c r="CK315" s="12"/>
      <c r="CL315" s="12"/>
    </row>
    <row r="316" spans="4:90" x14ac:dyDescent="0.3">
      <c r="D316" s="3"/>
      <c r="E316" s="12"/>
      <c r="F316" s="12"/>
      <c r="G316" s="12"/>
      <c r="H316" s="12"/>
      <c r="I316" s="12"/>
      <c r="J316" s="12"/>
      <c r="T316" s="7"/>
      <c r="U316" s="14"/>
      <c r="V316" s="14"/>
      <c r="W316" s="14"/>
      <c r="X316" s="14"/>
      <c r="Y316" s="14"/>
      <c r="Z316" s="14"/>
      <c r="AJ316" s="3"/>
      <c r="AK316" s="12"/>
      <c r="AL316" s="12"/>
      <c r="AM316" s="12"/>
      <c r="AN316" s="12"/>
      <c r="AO316" s="12"/>
      <c r="AP316" s="12"/>
      <c r="AZ316" s="3"/>
      <c r="BA316" s="12"/>
      <c r="BB316" s="12"/>
      <c r="BC316" s="12"/>
      <c r="BD316" s="12"/>
      <c r="BE316" s="12"/>
      <c r="BF316" s="12"/>
      <c r="BP316" s="7"/>
      <c r="BQ316" s="14"/>
      <c r="BR316" s="14"/>
      <c r="BS316" s="14"/>
      <c r="BT316" s="14"/>
      <c r="BU316" s="14"/>
      <c r="BV316" s="14"/>
      <c r="CF316" s="3"/>
      <c r="CG316" s="12"/>
      <c r="CH316" s="12"/>
      <c r="CI316" s="12"/>
      <c r="CJ316" s="12"/>
      <c r="CK316" s="12"/>
      <c r="CL316" s="12"/>
    </row>
    <row r="317" spans="4:90" x14ac:dyDescent="0.3">
      <c r="D317" s="3"/>
      <c r="E317" s="12"/>
      <c r="F317" s="12"/>
      <c r="G317" s="12"/>
      <c r="H317" s="12"/>
      <c r="I317" s="12"/>
      <c r="J317" s="12"/>
      <c r="T317" s="7"/>
      <c r="U317" s="14"/>
      <c r="V317" s="14"/>
      <c r="W317" s="14"/>
      <c r="X317" s="14"/>
      <c r="Y317" s="14"/>
      <c r="Z317" s="14"/>
      <c r="AJ317" s="3"/>
      <c r="AK317" s="12"/>
      <c r="AL317" s="12"/>
      <c r="AM317" s="12"/>
      <c r="AN317" s="12"/>
      <c r="AO317" s="12"/>
      <c r="AP317" s="12"/>
      <c r="AZ317" s="3"/>
      <c r="BA317" s="12"/>
      <c r="BB317" s="12"/>
      <c r="BC317" s="12"/>
      <c r="BD317" s="12"/>
      <c r="BE317" s="12"/>
      <c r="BF317" s="12"/>
      <c r="BP317" s="7"/>
      <c r="BQ317" s="14"/>
      <c r="BR317" s="14"/>
      <c r="BS317" s="14"/>
      <c r="BT317" s="14"/>
      <c r="BU317" s="14"/>
      <c r="BV317" s="14"/>
      <c r="CF317" s="3"/>
      <c r="CG317" s="12"/>
      <c r="CH317" s="12"/>
      <c r="CI317" s="12"/>
      <c r="CJ317" s="12"/>
      <c r="CK317" s="12"/>
      <c r="CL317" s="12"/>
    </row>
    <row r="318" spans="4:90" x14ac:dyDescent="0.3">
      <c r="D318" s="3"/>
      <c r="E318" s="12"/>
      <c r="F318" s="12"/>
      <c r="G318" s="12"/>
      <c r="H318" s="12"/>
      <c r="I318" s="12"/>
      <c r="J318" s="12"/>
      <c r="T318" s="7"/>
      <c r="U318" s="14"/>
      <c r="V318" s="14"/>
      <c r="W318" s="14"/>
      <c r="X318" s="14"/>
      <c r="Y318" s="14"/>
      <c r="Z318" s="14"/>
      <c r="AJ318" s="3"/>
      <c r="AK318" s="12"/>
      <c r="AL318" s="12"/>
      <c r="AM318" s="12"/>
      <c r="AN318" s="12"/>
      <c r="AO318" s="12"/>
      <c r="AP318" s="12"/>
      <c r="AZ318" s="3"/>
      <c r="BA318" s="12"/>
      <c r="BB318" s="12"/>
      <c r="BC318" s="12"/>
      <c r="BD318" s="12"/>
      <c r="BE318" s="12"/>
      <c r="BF318" s="12"/>
      <c r="BP318" s="7"/>
      <c r="BQ318" s="14"/>
      <c r="BR318" s="14"/>
      <c r="BS318" s="14"/>
      <c r="BT318" s="14"/>
      <c r="BU318" s="14"/>
      <c r="BV318" s="14"/>
      <c r="CF318" s="3"/>
      <c r="CG318" s="12"/>
      <c r="CH318" s="12"/>
      <c r="CI318" s="12"/>
      <c r="CJ318" s="12"/>
      <c r="CK318" s="12"/>
      <c r="CL318" s="12"/>
    </row>
    <row r="319" spans="4:90" x14ac:dyDescent="0.3">
      <c r="D319" s="3"/>
      <c r="E319" s="12"/>
      <c r="F319" s="12"/>
      <c r="G319" s="12"/>
      <c r="H319" s="12"/>
      <c r="I319" s="12"/>
      <c r="J319" s="12"/>
      <c r="T319" s="7"/>
      <c r="U319" s="14"/>
      <c r="V319" s="14"/>
      <c r="W319" s="14"/>
      <c r="X319" s="14"/>
      <c r="Y319" s="14"/>
      <c r="Z319" s="14"/>
      <c r="AJ319" s="3"/>
      <c r="AK319" s="12"/>
      <c r="AL319" s="12"/>
      <c r="AM319" s="12"/>
      <c r="AN319" s="12"/>
      <c r="AO319" s="12"/>
      <c r="AP319" s="12"/>
      <c r="AZ319" s="3"/>
      <c r="BA319" s="12"/>
      <c r="BB319" s="12"/>
      <c r="BC319" s="12"/>
      <c r="BD319" s="12"/>
      <c r="BE319" s="12"/>
      <c r="BF319" s="12"/>
      <c r="BP319" s="7"/>
      <c r="BQ319" s="14"/>
      <c r="BR319" s="14"/>
      <c r="BS319" s="14"/>
      <c r="BT319" s="14"/>
      <c r="BU319" s="14"/>
      <c r="BV319" s="14"/>
      <c r="CF319" s="3"/>
      <c r="CG319" s="12"/>
      <c r="CH319" s="12"/>
      <c r="CI319" s="12"/>
      <c r="CJ319" s="12"/>
      <c r="CK319" s="12"/>
      <c r="CL319" s="12"/>
    </row>
    <row r="320" spans="4:90" x14ac:dyDescent="0.3">
      <c r="D320" s="3"/>
      <c r="E320" s="12"/>
      <c r="F320" s="12"/>
      <c r="G320" s="12"/>
      <c r="H320" s="12"/>
      <c r="I320" s="12"/>
      <c r="J320" s="12"/>
      <c r="T320" s="7"/>
      <c r="U320" s="14"/>
      <c r="V320" s="14"/>
      <c r="W320" s="14"/>
      <c r="X320" s="14"/>
      <c r="Y320" s="14"/>
      <c r="Z320" s="14"/>
      <c r="AJ320" s="3"/>
      <c r="AK320" s="12"/>
      <c r="AL320" s="12"/>
      <c r="AM320" s="12"/>
      <c r="AN320" s="12"/>
      <c r="AO320" s="12"/>
      <c r="AP320" s="12"/>
      <c r="AZ320" s="3"/>
      <c r="BA320" s="12"/>
      <c r="BB320" s="12"/>
      <c r="BC320" s="12"/>
      <c r="BD320" s="12"/>
      <c r="BE320" s="12"/>
      <c r="BF320" s="12"/>
      <c r="BP320" s="7"/>
      <c r="BQ320" s="14"/>
      <c r="BR320" s="14"/>
      <c r="BS320" s="14"/>
      <c r="BT320" s="14"/>
      <c r="BU320" s="14"/>
      <c r="BV320" s="14"/>
      <c r="CF320" s="3"/>
      <c r="CG320" s="12"/>
      <c r="CH320" s="12"/>
      <c r="CI320" s="12"/>
      <c r="CJ320" s="12"/>
      <c r="CK320" s="12"/>
      <c r="CL320" s="12"/>
    </row>
    <row r="321" spans="4:90" x14ac:dyDescent="0.3">
      <c r="D321" s="3"/>
      <c r="E321" s="12"/>
      <c r="F321" s="12"/>
      <c r="G321" s="12"/>
      <c r="H321" s="12"/>
      <c r="I321" s="12"/>
      <c r="J321" s="12"/>
      <c r="T321" s="7"/>
      <c r="U321" s="14"/>
      <c r="V321" s="14"/>
      <c r="W321" s="14"/>
      <c r="X321" s="14"/>
      <c r="Y321" s="14"/>
      <c r="Z321" s="14"/>
      <c r="AJ321" s="3"/>
      <c r="AK321" s="12"/>
      <c r="AL321" s="12"/>
      <c r="AM321" s="12"/>
      <c r="AN321" s="12"/>
      <c r="AO321" s="12"/>
      <c r="AP321" s="12"/>
      <c r="AZ321" s="3"/>
      <c r="BA321" s="12"/>
      <c r="BB321" s="12"/>
      <c r="BC321" s="12"/>
      <c r="BD321" s="12"/>
      <c r="BE321" s="12"/>
      <c r="BF321" s="12"/>
      <c r="BP321" s="7"/>
      <c r="BQ321" s="14"/>
      <c r="BR321" s="14"/>
      <c r="BS321" s="14"/>
      <c r="BT321" s="14"/>
      <c r="BU321" s="14"/>
      <c r="BV321" s="14"/>
      <c r="CF321" s="3"/>
      <c r="CG321" s="12"/>
      <c r="CH321" s="12"/>
      <c r="CI321" s="12"/>
      <c r="CJ321" s="12"/>
      <c r="CK321" s="12"/>
      <c r="CL321" s="12"/>
    </row>
    <row r="322" spans="4:90" x14ac:dyDescent="0.3">
      <c r="D322" s="3"/>
      <c r="E322" s="12"/>
      <c r="F322" s="12"/>
      <c r="G322" s="12"/>
      <c r="H322" s="12"/>
      <c r="I322" s="12"/>
      <c r="J322" s="12"/>
      <c r="T322" s="7"/>
      <c r="U322" s="14"/>
      <c r="V322" s="14"/>
      <c r="W322" s="14"/>
      <c r="X322" s="14"/>
      <c r="Y322" s="14"/>
      <c r="Z322" s="14"/>
      <c r="AJ322" s="3"/>
      <c r="AK322" s="12"/>
      <c r="AL322" s="12"/>
      <c r="AM322" s="12"/>
      <c r="AN322" s="12"/>
      <c r="AO322" s="12"/>
      <c r="AP322" s="12"/>
      <c r="AZ322" s="3"/>
      <c r="BA322" s="12"/>
      <c r="BB322" s="12"/>
      <c r="BC322" s="12"/>
      <c r="BD322" s="12"/>
      <c r="BE322" s="12"/>
      <c r="BF322" s="12"/>
      <c r="BP322" s="7"/>
      <c r="BQ322" s="14"/>
      <c r="BR322" s="14"/>
      <c r="BS322" s="14"/>
      <c r="BT322" s="14"/>
      <c r="BU322" s="14"/>
      <c r="BV322" s="14"/>
      <c r="CF322" s="3"/>
      <c r="CG322" s="12"/>
      <c r="CH322" s="12"/>
      <c r="CI322" s="12"/>
      <c r="CJ322" s="12"/>
      <c r="CK322" s="12"/>
      <c r="CL322" s="12"/>
    </row>
    <row r="323" spans="4:90" x14ac:dyDescent="0.3">
      <c r="D323" s="3"/>
      <c r="E323" s="12"/>
      <c r="F323" s="12"/>
      <c r="G323" s="12"/>
      <c r="H323" s="12"/>
      <c r="I323" s="12"/>
      <c r="J323" s="12"/>
      <c r="T323" s="7"/>
      <c r="U323" s="14"/>
      <c r="V323" s="14"/>
      <c r="W323" s="14"/>
      <c r="X323" s="14"/>
      <c r="Y323" s="14"/>
      <c r="Z323" s="14"/>
      <c r="AJ323" s="3"/>
      <c r="AK323" s="12"/>
      <c r="AL323" s="12"/>
      <c r="AM323" s="12"/>
      <c r="AN323" s="12"/>
      <c r="AO323" s="12"/>
      <c r="AP323" s="12"/>
      <c r="AZ323" s="3"/>
      <c r="BA323" s="12"/>
      <c r="BB323" s="12"/>
      <c r="BC323" s="12"/>
      <c r="BD323" s="12"/>
      <c r="BE323" s="12"/>
      <c r="BF323" s="12"/>
      <c r="BP323" s="7"/>
      <c r="BQ323" s="14"/>
      <c r="BR323" s="14"/>
      <c r="BS323" s="14"/>
      <c r="BT323" s="14"/>
      <c r="BU323" s="14"/>
      <c r="BV323" s="14"/>
      <c r="CF323" s="3"/>
      <c r="CG323" s="12"/>
      <c r="CH323" s="12"/>
      <c r="CI323" s="12"/>
      <c r="CJ323" s="12"/>
      <c r="CK323" s="12"/>
      <c r="CL323" s="12"/>
    </row>
    <row r="324" spans="4:90" x14ac:dyDescent="0.3">
      <c r="D324" s="3"/>
      <c r="E324" s="12"/>
      <c r="F324" s="12"/>
      <c r="G324" s="12"/>
      <c r="H324" s="12"/>
      <c r="I324" s="12"/>
      <c r="J324" s="12"/>
      <c r="T324" s="7"/>
      <c r="U324" s="14"/>
      <c r="V324" s="14"/>
      <c r="W324" s="14"/>
      <c r="X324" s="14"/>
      <c r="Y324" s="14"/>
      <c r="Z324" s="14"/>
      <c r="AJ324" s="3"/>
      <c r="AK324" s="12"/>
      <c r="AL324" s="12"/>
      <c r="AM324" s="12"/>
      <c r="AN324" s="12"/>
      <c r="AO324" s="12"/>
      <c r="AP324" s="12"/>
      <c r="AZ324" s="3"/>
      <c r="BA324" s="12"/>
      <c r="BB324" s="12"/>
      <c r="BC324" s="12"/>
      <c r="BD324" s="12"/>
      <c r="BE324" s="12"/>
      <c r="BF324" s="12"/>
      <c r="BP324" s="7"/>
      <c r="BQ324" s="14"/>
      <c r="BR324" s="14"/>
      <c r="BS324" s="14"/>
      <c r="BT324" s="14"/>
      <c r="BU324" s="14"/>
      <c r="BV324" s="14"/>
      <c r="CF324" s="3"/>
      <c r="CG324" s="12"/>
      <c r="CH324" s="12"/>
      <c r="CI324" s="12"/>
      <c r="CJ324" s="12"/>
      <c r="CK324" s="12"/>
      <c r="CL324" s="12"/>
    </row>
    <row r="325" spans="4:90" x14ac:dyDescent="0.3">
      <c r="D325" s="3"/>
      <c r="E325" s="12"/>
      <c r="F325" s="12"/>
      <c r="G325" s="12"/>
      <c r="H325" s="12"/>
      <c r="I325" s="12"/>
      <c r="J325" s="12"/>
      <c r="T325" s="7"/>
      <c r="U325" s="14"/>
      <c r="V325" s="14"/>
      <c r="W325" s="14"/>
      <c r="X325" s="14"/>
      <c r="Y325" s="14"/>
      <c r="Z325" s="14"/>
      <c r="AJ325" s="3"/>
      <c r="AK325" s="12"/>
      <c r="AL325" s="12"/>
      <c r="AM325" s="12"/>
      <c r="AN325" s="12"/>
      <c r="AO325" s="12"/>
      <c r="AP325" s="12"/>
      <c r="AZ325" s="3"/>
      <c r="BA325" s="12"/>
      <c r="BB325" s="12"/>
      <c r="BC325" s="12"/>
      <c r="BD325" s="12"/>
      <c r="BE325" s="12"/>
      <c r="BF325" s="12"/>
      <c r="BP325" s="7"/>
      <c r="BQ325" s="14"/>
      <c r="BR325" s="14"/>
      <c r="BS325" s="14"/>
      <c r="BT325" s="14"/>
      <c r="BU325" s="14"/>
      <c r="BV325" s="14"/>
      <c r="CF325" s="3"/>
      <c r="CG325" s="12"/>
      <c r="CH325" s="12"/>
      <c r="CI325" s="12"/>
      <c r="CJ325" s="12"/>
      <c r="CK325" s="12"/>
      <c r="CL325" s="12"/>
    </row>
    <row r="326" spans="4:90" x14ac:dyDescent="0.3">
      <c r="D326" s="3"/>
      <c r="E326" s="12"/>
      <c r="F326" s="12"/>
      <c r="G326" s="12"/>
      <c r="H326" s="12"/>
      <c r="I326" s="12"/>
      <c r="J326" s="12"/>
      <c r="T326" s="7"/>
      <c r="U326" s="14"/>
      <c r="V326" s="14"/>
      <c r="W326" s="14"/>
      <c r="X326" s="14"/>
      <c r="Y326" s="14"/>
      <c r="Z326" s="14"/>
      <c r="AJ326" s="3"/>
      <c r="AK326" s="12"/>
      <c r="AL326" s="12"/>
      <c r="AM326" s="12"/>
      <c r="AN326" s="12"/>
      <c r="AO326" s="12"/>
      <c r="AP326" s="12"/>
      <c r="AZ326" s="3"/>
      <c r="BA326" s="12"/>
      <c r="BB326" s="12"/>
      <c r="BC326" s="12"/>
      <c r="BD326" s="12"/>
      <c r="BE326" s="12"/>
      <c r="BF326" s="12"/>
      <c r="BP326" s="7"/>
      <c r="BQ326" s="14"/>
      <c r="BR326" s="14"/>
      <c r="BS326" s="14"/>
      <c r="BT326" s="14"/>
      <c r="BU326" s="14"/>
      <c r="BV326" s="14"/>
      <c r="CF326" s="3"/>
      <c r="CG326" s="12"/>
      <c r="CH326" s="12"/>
      <c r="CI326" s="12"/>
      <c r="CJ326" s="12"/>
      <c r="CK326" s="12"/>
      <c r="CL326" s="12"/>
    </row>
    <row r="327" spans="4:90" x14ac:dyDescent="0.3">
      <c r="D327" s="3"/>
      <c r="E327" s="12"/>
      <c r="F327" s="12"/>
      <c r="G327" s="12"/>
      <c r="H327" s="12"/>
      <c r="I327" s="12"/>
      <c r="J327" s="12"/>
      <c r="T327" s="7"/>
      <c r="U327" s="14"/>
      <c r="V327" s="14"/>
      <c r="W327" s="14"/>
      <c r="X327" s="14"/>
      <c r="Y327" s="14"/>
      <c r="Z327" s="14"/>
      <c r="AJ327" s="3"/>
      <c r="AK327" s="12"/>
      <c r="AL327" s="12"/>
      <c r="AM327" s="12"/>
      <c r="AN327" s="12"/>
      <c r="AO327" s="12"/>
      <c r="AP327" s="12"/>
      <c r="AZ327" s="3"/>
      <c r="BA327" s="12"/>
      <c r="BB327" s="12"/>
      <c r="BC327" s="12"/>
      <c r="BD327" s="12"/>
      <c r="BE327" s="12"/>
      <c r="BF327" s="12"/>
      <c r="BP327" s="7"/>
      <c r="BQ327" s="14"/>
      <c r="BR327" s="14"/>
      <c r="BS327" s="14"/>
      <c r="BT327" s="14"/>
      <c r="BU327" s="14"/>
      <c r="BV327" s="14"/>
      <c r="CF327" s="3"/>
      <c r="CG327" s="12"/>
      <c r="CH327" s="12"/>
      <c r="CI327" s="12"/>
      <c r="CJ327" s="12"/>
      <c r="CK327" s="12"/>
      <c r="CL327" s="12"/>
    </row>
    <row r="328" spans="4:90" x14ac:dyDescent="0.3">
      <c r="D328" s="3"/>
      <c r="E328" s="12"/>
      <c r="F328" s="12"/>
      <c r="G328" s="12"/>
      <c r="H328" s="12"/>
      <c r="I328" s="12"/>
      <c r="J328" s="12"/>
      <c r="T328" s="7"/>
      <c r="U328" s="14"/>
      <c r="V328" s="14"/>
      <c r="W328" s="14"/>
      <c r="X328" s="14"/>
      <c r="Y328" s="14"/>
      <c r="Z328" s="14"/>
      <c r="AJ328" s="3"/>
      <c r="AK328" s="12"/>
      <c r="AL328" s="12"/>
      <c r="AM328" s="12"/>
      <c r="AN328" s="12"/>
      <c r="AO328" s="12"/>
      <c r="AP328" s="12"/>
      <c r="AZ328" s="3"/>
      <c r="BA328" s="12"/>
      <c r="BB328" s="12"/>
      <c r="BC328" s="12"/>
      <c r="BD328" s="12"/>
      <c r="BE328" s="12"/>
      <c r="BF328" s="12"/>
      <c r="BP328" s="7"/>
      <c r="BQ328" s="14"/>
      <c r="BR328" s="14"/>
      <c r="BS328" s="14"/>
      <c r="BT328" s="14"/>
      <c r="BU328" s="14"/>
      <c r="BV328" s="14"/>
      <c r="CF328" s="3"/>
      <c r="CG328" s="12"/>
      <c r="CH328" s="12"/>
      <c r="CI328" s="12"/>
      <c r="CJ328" s="12"/>
      <c r="CK328" s="12"/>
      <c r="CL328" s="12"/>
    </row>
    <row r="329" spans="4:90" x14ac:dyDescent="0.3">
      <c r="D329" s="3"/>
      <c r="E329" s="12"/>
      <c r="F329" s="12"/>
      <c r="G329" s="12"/>
      <c r="H329" s="12"/>
      <c r="I329" s="12"/>
      <c r="J329" s="12"/>
      <c r="T329" s="7"/>
      <c r="U329" s="14"/>
      <c r="V329" s="14"/>
      <c r="W329" s="14"/>
      <c r="X329" s="14"/>
      <c r="Y329" s="14"/>
      <c r="Z329" s="14"/>
      <c r="AJ329" s="3"/>
      <c r="AK329" s="12"/>
      <c r="AL329" s="12"/>
      <c r="AM329" s="12"/>
      <c r="AN329" s="12"/>
      <c r="AO329" s="12"/>
      <c r="AP329" s="12"/>
      <c r="AZ329" s="3"/>
      <c r="BA329" s="12"/>
      <c r="BB329" s="12"/>
      <c r="BC329" s="12"/>
      <c r="BD329" s="12"/>
      <c r="BE329" s="12"/>
      <c r="BF329" s="12"/>
      <c r="BP329" s="7"/>
      <c r="BQ329" s="14"/>
      <c r="BR329" s="14"/>
      <c r="BS329" s="14"/>
      <c r="BT329" s="14"/>
      <c r="BU329" s="14"/>
      <c r="BV329" s="14"/>
      <c r="CF329" s="3"/>
      <c r="CG329" s="12"/>
      <c r="CH329" s="12"/>
      <c r="CI329" s="12"/>
      <c r="CJ329" s="12"/>
      <c r="CK329" s="12"/>
      <c r="CL329" s="12"/>
    </row>
    <row r="330" spans="4:90" x14ac:dyDescent="0.3">
      <c r="D330" s="3"/>
      <c r="E330" s="12"/>
      <c r="F330" s="12"/>
      <c r="G330" s="12"/>
      <c r="H330" s="12"/>
      <c r="I330" s="12"/>
      <c r="J330" s="12"/>
      <c r="T330" s="7"/>
      <c r="U330" s="14"/>
      <c r="V330" s="14"/>
      <c r="W330" s="14"/>
      <c r="X330" s="14"/>
      <c r="Y330" s="14"/>
      <c r="Z330" s="14"/>
      <c r="AJ330" s="3"/>
      <c r="AK330" s="12"/>
      <c r="AL330" s="12"/>
      <c r="AM330" s="12"/>
      <c r="AN330" s="12"/>
      <c r="AO330" s="12"/>
      <c r="AP330" s="12"/>
      <c r="AZ330" s="3"/>
      <c r="BA330" s="12"/>
      <c r="BB330" s="12"/>
      <c r="BC330" s="12"/>
      <c r="BD330" s="12"/>
      <c r="BE330" s="12"/>
      <c r="BF330" s="12"/>
      <c r="BP330" s="7"/>
      <c r="BQ330" s="14"/>
      <c r="BR330" s="14"/>
      <c r="BS330" s="14"/>
      <c r="BT330" s="14"/>
      <c r="BU330" s="14"/>
      <c r="BV330" s="14"/>
      <c r="CF330" s="3"/>
      <c r="CG330" s="12"/>
      <c r="CH330" s="12"/>
      <c r="CI330" s="12"/>
      <c r="CJ330" s="12"/>
      <c r="CK330" s="12"/>
      <c r="CL330" s="12"/>
    </row>
    <row r="331" spans="4:90" x14ac:dyDescent="0.3">
      <c r="D331" s="3"/>
      <c r="E331" s="12"/>
      <c r="F331" s="12"/>
      <c r="G331" s="12"/>
      <c r="H331" s="12"/>
      <c r="I331" s="12"/>
      <c r="J331" s="12"/>
      <c r="T331" s="7"/>
      <c r="U331" s="14"/>
      <c r="V331" s="14"/>
      <c r="W331" s="14"/>
      <c r="X331" s="14"/>
      <c r="Y331" s="14"/>
      <c r="Z331" s="14"/>
      <c r="AJ331" s="3"/>
      <c r="AK331" s="12"/>
      <c r="AL331" s="12"/>
      <c r="AM331" s="12"/>
      <c r="AN331" s="12"/>
      <c r="AO331" s="12"/>
      <c r="AP331" s="12"/>
      <c r="AZ331" s="3"/>
      <c r="BA331" s="12"/>
      <c r="BB331" s="12"/>
      <c r="BC331" s="12"/>
      <c r="BD331" s="12"/>
      <c r="BE331" s="12"/>
      <c r="BF331" s="12"/>
      <c r="BP331" s="7"/>
      <c r="BQ331" s="14"/>
      <c r="BR331" s="14"/>
      <c r="BS331" s="14"/>
      <c r="BT331" s="14"/>
      <c r="BU331" s="14"/>
      <c r="BV331" s="14"/>
      <c r="CF331" s="3"/>
      <c r="CG331" s="12"/>
      <c r="CH331" s="12"/>
      <c r="CI331" s="12"/>
      <c r="CJ331" s="12"/>
      <c r="CK331" s="12"/>
      <c r="CL331" s="12"/>
    </row>
    <row r="332" spans="4:90" x14ac:dyDescent="0.3">
      <c r="D332" s="3"/>
      <c r="E332" s="12"/>
      <c r="F332" s="12"/>
      <c r="G332" s="12"/>
      <c r="H332" s="12"/>
      <c r="I332" s="12"/>
      <c r="J332" s="12"/>
      <c r="T332" s="7"/>
      <c r="U332" s="14"/>
      <c r="V332" s="14"/>
      <c r="W332" s="14"/>
      <c r="X332" s="14"/>
      <c r="Y332" s="14"/>
      <c r="Z332" s="14"/>
      <c r="AJ332" s="3"/>
      <c r="AK332" s="12"/>
      <c r="AL332" s="12"/>
      <c r="AM332" s="12"/>
      <c r="AN332" s="12"/>
      <c r="AO332" s="12"/>
      <c r="AP332" s="12"/>
      <c r="AZ332" s="3"/>
      <c r="BA332" s="12"/>
      <c r="BB332" s="12"/>
      <c r="BC332" s="12"/>
      <c r="BD332" s="12"/>
      <c r="BE332" s="12"/>
      <c r="BF332" s="12"/>
      <c r="BP332" s="7"/>
      <c r="BQ332" s="14"/>
      <c r="BR332" s="14"/>
      <c r="BS332" s="14"/>
      <c r="BT332" s="14"/>
      <c r="BU332" s="14"/>
      <c r="BV332" s="14"/>
      <c r="CF332" s="3"/>
      <c r="CG332" s="12"/>
      <c r="CH332" s="12"/>
      <c r="CI332" s="12"/>
      <c r="CJ332" s="12"/>
      <c r="CK332" s="12"/>
      <c r="CL332" s="12"/>
    </row>
    <row r="333" spans="4:90" x14ac:dyDescent="0.3">
      <c r="D333" s="3"/>
      <c r="E333" s="12"/>
      <c r="F333" s="12"/>
      <c r="G333" s="12"/>
      <c r="H333" s="12"/>
      <c r="I333" s="12"/>
      <c r="J333" s="12"/>
      <c r="T333" s="7"/>
      <c r="U333" s="14"/>
      <c r="V333" s="14"/>
      <c r="W333" s="14"/>
      <c r="X333" s="14"/>
      <c r="Y333" s="14"/>
      <c r="Z333" s="14"/>
      <c r="AJ333" s="3"/>
      <c r="AK333" s="12"/>
      <c r="AL333" s="12"/>
      <c r="AM333" s="12"/>
      <c r="AN333" s="12"/>
      <c r="AO333" s="12"/>
      <c r="AP333" s="12"/>
      <c r="AZ333" s="3"/>
      <c r="BA333" s="12"/>
      <c r="BB333" s="12"/>
      <c r="BC333" s="12"/>
      <c r="BD333" s="12"/>
      <c r="BE333" s="12"/>
      <c r="BF333" s="12"/>
      <c r="BP333" s="7"/>
      <c r="BQ333" s="14"/>
      <c r="BR333" s="14"/>
      <c r="BS333" s="14"/>
      <c r="BT333" s="14"/>
      <c r="BU333" s="14"/>
      <c r="BV333" s="14"/>
      <c r="CF333" s="3"/>
      <c r="CG333" s="12"/>
      <c r="CH333" s="12"/>
      <c r="CI333" s="12"/>
      <c r="CJ333" s="12"/>
      <c r="CK333" s="12"/>
      <c r="CL333" s="12"/>
    </row>
    <row r="334" spans="4:90" x14ac:dyDescent="0.3">
      <c r="D334" s="3"/>
      <c r="E334" s="12"/>
      <c r="F334" s="12"/>
      <c r="G334" s="12"/>
      <c r="H334" s="12"/>
      <c r="I334" s="12"/>
      <c r="J334" s="12"/>
      <c r="T334" s="7"/>
      <c r="U334" s="14"/>
      <c r="V334" s="14"/>
      <c r="W334" s="14"/>
      <c r="X334" s="14"/>
      <c r="Y334" s="14"/>
      <c r="Z334" s="14"/>
      <c r="AJ334" s="3"/>
      <c r="AK334" s="12"/>
      <c r="AL334" s="12"/>
      <c r="AM334" s="12"/>
      <c r="AN334" s="12"/>
      <c r="AO334" s="12"/>
      <c r="AP334" s="12"/>
      <c r="AZ334" s="3"/>
      <c r="BA334" s="12"/>
      <c r="BB334" s="12"/>
      <c r="BC334" s="12"/>
      <c r="BD334" s="12"/>
      <c r="BE334" s="12"/>
      <c r="BF334" s="12"/>
      <c r="BP334" s="7"/>
      <c r="BQ334" s="14"/>
      <c r="BR334" s="14"/>
      <c r="BS334" s="14"/>
      <c r="BT334" s="14"/>
      <c r="BU334" s="14"/>
      <c r="BV334" s="14"/>
      <c r="CF334" s="3"/>
      <c r="CG334" s="12"/>
      <c r="CH334" s="12"/>
      <c r="CI334" s="12"/>
      <c r="CJ334" s="12"/>
      <c r="CK334" s="12"/>
      <c r="CL334" s="12"/>
    </row>
    <row r="335" spans="4:90" x14ac:dyDescent="0.3">
      <c r="D335" s="3"/>
      <c r="E335" s="12"/>
      <c r="F335" s="12"/>
      <c r="G335" s="12"/>
      <c r="H335" s="12"/>
      <c r="I335" s="12"/>
      <c r="J335" s="12"/>
      <c r="T335" s="7"/>
      <c r="U335" s="14"/>
      <c r="V335" s="14"/>
      <c r="W335" s="14"/>
      <c r="X335" s="14"/>
      <c r="Y335" s="14"/>
      <c r="Z335" s="14"/>
      <c r="AJ335" s="3"/>
      <c r="AK335" s="12"/>
      <c r="AL335" s="12"/>
      <c r="AM335" s="12"/>
      <c r="AN335" s="12"/>
      <c r="AO335" s="12"/>
      <c r="AP335" s="12"/>
      <c r="AZ335" s="3"/>
      <c r="BA335" s="12"/>
      <c r="BB335" s="12"/>
      <c r="BC335" s="12"/>
      <c r="BD335" s="12"/>
      <c r="BE335" s="12"/>
      <c r="BF335" s="12"/>
      <c r="BP335" s="7"/>
      <c r="BQ335" s="14"/>
      <c r="BR335" s="14"/>
      <c r="BS335" s="14"/>
      <c r="BT335" s="14"/>
      <c r="BU335" s="14"/>
      <c r="BV335" s="14"/>
      <c r="CF335" s="3"/>
      <c r="CG335" s="12"/>
      <c r="CH335" s="12"/>
      <c r="CI335" s="12"/>
      <c r="CJ335" s="12"/>
      <c r="CK335" s="12"/>
      <c r="CL335" s="12"/>
    </row>
    <row r="336" spans="4:90" x14ac:dyDescent="0.3">
      <c r="D336" s="3"/>
      <c r="E336" s="12"/>
      <c r="F336" s="12"/>
      <c r="G336" s="12"/>
      <c r="H336" s="12"/>
      <c r="I336" s="12"/>
      <c r="J336" s="12"/>
      <c r="T336" s="7"/>
      <c r="U336" s="14"/>
      <c r="V336" s="14"/>
      <c r="W336" s="14"/>
      <c r="X336" s="14"/>
      <c r="Y336" s="14"/>
      <c r="Z336" s="14"/>
      <c r="AJ336" s="3"/>
      <c r="AK336" s="12"/>
      <c r="AL336" s="12"/>
      <c r="AM336" s="12"/>
      <c r="AN336" s="12"/>
      <c r="AO336" s="12"/>
      <c r="AP336" s="12"/>
      <c r="AZ336" s="3"/>
      <c r="BA336" s="12"/>
      <c r="BB336" s="12"/>
      <c r="BC336" s="12"/>
      <c r="BD336" s="12"/>
      <c r="BE336" s="12"/>
      <c r="BF336" s="12"/>
      <c r="BP336" s="7"/>
      <c r="BQ336" s="14"/>
      <c r="BR336" s="14"/>
      <c r="BS336" s="14"/>
      <c r="BT336" s="14"/>
      <c r="BU336" s="14"/>
      <c r="BV336" s="14"/>
      <c r="CF336" s="3"/>
      <c r="CG336" s="12"/>
      <c r="CH336" s="12"/>
      <c r="CI336" s="12"/>
      <c r="CJ336" s="12"/>
      <c r="CK336" s="12"/>
      <c r="CL336" s="12"/>
    </row>
    <row r="337" spans="4:90" x14ac:dyDescent="0.3">
      <c r="D337" s="3"/>
      <c r="E337" s="12"/>
      <c r="F337" s="12"/>
      <c r="G337" s="12"/>
      <c r="H337" s="12"/>
      <c r="I337" s="12"/>
      <c r="J337" s="12"/>
      <c r="T337" s="7"/>
      <c r="U337" s="14"/>
      <c r="V337" s="14"/>
      <c r="W337" s="14"/>
      <c r="X337" s="14"/>
      <c r="Y337" s="14"/>
      <c r="Z337" s="14"/>
      <c r="AJ337" s="3"/>
      <c r="AK337" s="12"/>
      <c r="AL337" s="12"/>
      <c r="AM337" s="12"/>
      <c r="AN337" s="12"/>
      <c r="AO337" s="12"/>
      <c r="AP337" s="12"/>
      <c r="AZ337" s="3"/>
      <c r="BA337" s="12"/>
      <c r="BB337" s="12"/>
      <c r="BC337" s="12"/>
      <c r="BD337" s="12"/>
      <c r="BE337" s="12"/>
      <c r="BF337" s="12"/>
      <c r="BP337" s="7"/>
      <c r="BQ337" s="14"/>
      <c r="BR337" s="14"/>
      <c r="BS337" s="14"/>
      <c r="BT337" s="14"/>
      <c r="BU337" s="14"/>
      <c r="BV337" s="14"/>
      <c r="CF337" s="3"/>
      <c r="CG337" s="12"/>
      <c r="CH337" s="12"/>
      <c r="CI337" s="12"/>
      <c r="CJ337" s="12"/>
      <c r="CK337" s="12"/>
      <c r="CL337" s="12"/>
    </row>
    <row r="338" spans="4:90" x14ac:dyDescent="0.3">
      <c r="D338" s="3"/>
      <c r="E338" s="12"/>
      <c r="F338" s="12"/>
      <c r="G338" s="12"/>
      <c r="H338" s="12"/>
      <c r="I338" s="12"/>
      <c r="J338" s="12"/>
      <c r="T338" s="7"/>
      <c r="U338" s="14"/>
      <c r="V338" s="14"/>
      <c r="W338" s="14"/>
      <c r="X338" s="14"/>
      <c r="Y338" s="14"/>
      <c r="Z338" s="14"/>
      <c r="AJ338" s="3"/>
      <c r="AK338" s="12"/>
      <c r="AL338" s="12"/>
      <c r="AM338" s="12"/>
      <c r="AN338" s="12"/>
      <c r="AO338" s="12"/>
      <c r="AP338" s="12"/>
      <c r="AZ338" s="3"/>
      <c r="BA338" s="12"/>
      <c r="BB338" s="12"/>
      <c r="BC338" s="12"/>
      <c r="BD338" s="12"/>
      <c r="BE338" s="12"/>
      <c r="BF338" s="12"/>
      <c r="BP338" s="7"/>
      <c r="BQ338" s="14"/>
      <c r="BR338" s="14"/>
      <c r="BS338" s="14"/>
      <c r="BT338" s="14"/>
      <c r="BU338" s="14"/>
      <c r="BV338" s="14"/>
      <c r="CF338" s="3"/>
      <c r="CG338" s="12"/>
      <c r="CH338" s="12"/>
      <c r="CI338" s="12"/>
      <c r="CJ338" s="12"/>
      <c r="CK338" s="12"/>
      <c r="CL338" s="12"/>
    </row>
    <row r="339" spans="4:90" x14ac:dyDescent="0.3">
      <c r="D339" s="3"/>
      <c r="E339" s="12"/>
      <c r="F339" s="12"/>
      <c r="G339" s="12"/>
      <c r="H339" s="12"/>
      <c r="I339" s="12"/>
      <c r="J339" s="12"/>
      <c r="T339" s="7"/>
      <c r="U339" s="14"/>
      <c r="V339" s="14"/>
      <c r="W339" s="14"/>
      <c r="X339" s="14"/>
      <c r="Y339" s="14"/>
      <c r="Z339" s="14"/>
      <c r="AJ339" s="3"/>
      <c r="AK339" s="12"/>
      <c r="AL339" s="12"/>
      <c r="AM339" s="12"/>
      <c r="AN339" s="12"/>
      <c r="AO339" s="12"/>
      <c r="AP339" s="12"/>
      <c r="AZ339" s="3"/>
      <c r="BA339" s="12"/>
      <c r="BB339" s="12"/>
      <c r="BC339" s="12"/>
      <c r="BD339" s="12"/>
      <c r="BE339" s="12"/>
      <c r="BF339" s="12"/>
      <c r="BP339" s="7"/>
      <c r="BQ339" s="14"/>
      <c r="BR339" s="14"/>
      <c r="BS339" s="14"/>
      <c r="BT339" s="14"/>
      <c r="BU339" s="14"/>
      <c r="BV339" s="14"/>
      <c r="CF339" s="3"/>
      <c r="CG339" s="12"/>
      <c r="CH339" s="12"/>
      <c r="CI339" s="12"/>
      <c r="CJ339" s="12"/>
      <c r="CK339" s="12"/>
      <c r="CL339" s="12"/>
    </row>
    <row r="340" spans="4:90" x14ac:dyDescent="0.3">
      <c r="D340" s="3"/>
      <c r="E340" s="12"/>
      <c r="F340" s="12"/>
      <c r="G340" s="12"/>
      <c r="H340" s="12"/>
      <c r="I340" s="12"/>
      <c r="J340" s="12"/>
      <c r="T340" s="7"/>
      <c r="U340" s="14"/>
      <c r="V340" s="14"/>
      <c r="W340" s="14"/>
      <c r="X340" s="14"/>
      <c r="Y340" s="14"/>
      <c r="Z340" s="14"/>
      <c r="AJ340" s="3"/>
      <c r="AK340" s="12"/>
      <c r="AL340" s="12"/>
      <c r="AM340" s="12"/>
      <c r="AN340" s="12"/>
      <c r="AO340" s="12"/>
      <c r="AP340" s="12"/>
      <c r="AZ340" s="3"/>
      <c r="BA340" s="12"/>
      <c r="BB340" s="12"/>
      <c r="BC340" s="12"/>
      <c r="BD340" s="12"/>
      <c r="BE340" s="12"/>
      <c r="BF340" s="12"/>
      <c r="BP340" s="7"/>
      <c r="BQ340" s="14"/>
      <c r="BR340" s="14"/>
      <c r="BS340" s="14"/>
      <c r="BT340" s="14"/>
      <c r="BU340" s="14"/>
      <c r="BV340" s="14"/>
      <c r="CF340" s="3"/>
      <c r="CG340" s="12"/>
      <c r="CH340" s="12"/>
      <c r="CI340" s="12"/>
      <c r="CJ340" s="12"/>
      <c r="CK340" s="12"/>
      <c r="CL340" s="12"/>
    </row>
    <row r="341" spans="4:90" x14ac:dyDescent="0.3">
      <c r="D341" s="3"/>
      <c r="E341" s="12"/>
      <c r="F341" s="12"/>
      <c r="G341" s="12"/>
      <c r="H341" s="12"/>
      <c r="I341" s="12"/>
      <c r="J341" s="12"/>
      <c r="T341" s="7"/>
      <c r="U341" s="14"/>
      <c r="V341" s="14"/>
      <c r="W341" s="14"/>
      <c r="X341" s="14"/>
      <c r="Y341" s="14"/>
      <c r="Z341" s="14"/>
      <c r="AJ341" s="3"/>
      <c r="AK341" s="12"/>
      <c r="AL341" s="12"/>
      <c r="AM341" s="12"/>
      <c r="AN341" s="12"/>
      <c r="AO341" s="12"/>
      <c r="AP341" s="12"/>
      <c r="AZ341" s="3"/>
      <c r="BA341" s="12"/>
      <c r="BB341" s="12"/>
      <c r="BC341" s="12"/>
      <c r="BD341" s="12"/>
      <c r="BE341" s="12"/>
      <c r="BF341" s="12"/>
      <c r="BP341" s="7"/>
      <c r="BQ341" s="14"/>
      <c r="BR341" s="14"/>
      <c r="BS341" s="14"/>
      <c r="BT341" s="14"/>
      <c r="BU341" s="14"/>
      <c r="BV341" s="14"/>
      <c r="CF341" s="3"/>
      <c r="CG341" s="12"/>
      <c r="CH341" s="12"/>
      <c r="CI341" s="12"/>
      <c r="CJ341" s="12"/>
      <c r="CK341" s="12"/>
      <c r="CL341" s="12"/>
    </row>
    <row r="342" spans="4:90" x14ac:dyDescent="0.3">
      <c r="D342" s="3"/>
      <c r="E342" s="12"/>
      <c r="F342" s="12"/>
      <c r="G342" s="12"/>
      <c r="H342" s="12"/>
      <c r="I342" s="12"/>
      <c r="J342" s="12"/>
      <c r="T342" s="7"/>
      <c r="U342" s="14"/>
      <c r="V342" s="14"/>
      <c r="W342" s="14"/>
      <c r="X342" s="14"/>
      <c r="Y342" s="14"/>
      <c r="Z342" s="14"/>
      <c r="AJ342" s="3"/>
      <c r="AK342" s="12"/>
      <c r="AL342" s="12"/>
      <c r="AM342" s="12"/>
      <c r="AN342" s="12"/>
      <c r="AO342" s="12"/>
      <c r="AP342" s="12"/>
      <c r="AZ342" s="3"/>
      <c r="BA342" s="12"/>
      <c r="BB342" s="12"/>
      <c r="BC342" s="12"/>
      <c r="BD342" s="12"/>
      <c r="BE342" s="12"/>
      <c r="BF342" s="12"/>
      <c r="BP342" s="7"/>
      <c r="BQ342" s="14"/>
      <c r="BR342" s="14"/>
      <c r="BS342" s="14"/>
      <c r="BT342" s="14"/>
      <c r="BU342" s="14"/>
      <c r="BV342" s="14"/>
      <c r="CF342" s="3"/>
      <c r="CG342" s="12"/>
      <c r="CH342" s="12"/>
      <c r="CI342" s="12"/>
      <c r="CJ342" s="12"/>
      <c r="CK342" s="12"/>
      <c r="CL342" s="12"/>
    </row>
    <row r="343" spans="4:90" x14ac:dyDescent="0.3">
      <c r="D343" s="3"/>
      <c r="E343" s="12"/>
      <c r="F343" s="12"/>
      <c r="G343" s="12"/>
      <c r="H343" s="12"/>
      <c r="I343" s="12"/>
      <c r="J343" s="12"/>
      <c r="T343" s="7"/>
      <c r="U343" s="14"/>
      <c r="V343" s="14"/>
      <c r="W343" s="14"/>
      <c r="X343" s="14"/>
      <c r="Y343" s="14"/>
      <c r="Z343" s="14"/>
      <c r="AJ343" s="3"/>
      <c r="AK343" s="12"/>
      <c r="AL343" s="12"/>
      <c r="AM343" s="12"/>
      <c r="AN343" s="12"/>
      <c r="AO343" s="12"/>
      <c r="AP343" s="12"/>
      <c r="AZ343" s="3"/>
      <c r="BA343" s="12"/>
      <c r="BB343" s="12"/>
      <c r="BC343" s="12"/>
      <c r="BD343" s="12"/>
      <c r="BE343" s="12"/>
      <c r="BF343" s="12"/>
      <c r="BP343" s="7"/>
      <c r="BQ343" s="14"/>
      <c r="BR343" s="14"/>
      <c r="BS343" s="14"/>
      <c r="BT343" s="14"/>
      <c r="BU343" s="14"/>
      <c r="BV343" s="14"/>
      <c r="CF343" s="3"/>
      <c r="CG343" s="12"/>
      <c r="CH343" s="12"/>
      <c r="CI343" s="12"/>
      <c r="CJ343" s="12"/>
      <c r="CK343" s="12"/>
      <c r="CL343" s="12"/>
    </row>
    <row r="344" spans="4:90" x14ac:dyDescent="0.3">
      <c r="D344" s="3"/>
      <c r="E344" s="12"/>
      <c r="F344" s="12"/>
      <c r="G344" s="12"/>
      <c r="H344" s="12"/>
      <c r="I344" s="12"/>
      <c r="J344" s="12"/>
      <c r="T344" s="7"/>
      <c r="U344" s="14"/>
      <c r="V344" s="14"/>
      <c r="W344" s="14"/>
      <c r="X344" s="14"/>
      <c r="Y344" s="14"/>
      <c r="Z344" s="14"/>
      <c r="AJ344" s="3"/>
      <c r="AK344" s="12"/>
      <c r="AL344" s="12"/>
      <c r="AM344" s="12"/>
      <c r="AN344" s="12"/>
      <c r="AO344" s="12"/>
      <c r="AP344" s="12"/>
      <c r="AZ344" s="3"/>
      <c r="BA344" s="12"/>
      <c r="BB344" s="12"/>
      <c r="BC344" s="12"/>
      <c r="BD344" s="12"/>
      <c r="BE344" s="12"/>
      <c r="BF344" s="12"/>
      <c r="BP344" s="7"/>
      <c r="BQ344" s="14"/>
      <c r="BR344" s="14"/>
      <c r="BS344" s="14"/>
      <c r="BT344" s="14"/>
      <c r="BU344" s="14"/>
      <c r="BV344" s="14"/>
      <c r="CF344" s="3"/>
      <c r="CG344" s="12"/>
      <c r="CH344" s="12"/>
      <c r="CI344" s="12"/>
      <c r="CJ344" s="12"/>
      <c r="CK344" s="12"/>
      <c r="CL344" s="12"/>
    </row>
    <row r="345" spans="4:90" x14ac:dyDescent="0.3">
      <c r="D345" s="3"/>
      <c r="E345" s="12"/>
      <c r="F345" s="12"/>
      <c r="G345" s="12"/>
      <c r="H345" s="12"/>
      <c r="I345" s="12"/>
      <c r="J345" s="12"/>
      <c r="T345" s="7"/>
      <c r="U345" s="14"/>
      <c r="V345" s="14"/>
      <c r="W345" s="14"/>
      <c r="X345" s="14"/>
      <c r="Y345" s="14"/>
      <c r="Z345" s="14"/>
      <c r="AJ345" s="3"/>
      <c r="AK345" s="12"/>
      <c r="AL345" s="12"/>
      <c r="AM345" s="12"/>
      <c r="AN345" s="12"/>
      <c r="AO345" s="12"/>
      <c r="AP345" s="12"/>
      <c r="AZ345" s="3"/>
      <c r="BA345" s="12"/>
      <c r="BB345" s="12"/>
      <c r="BC345" s="12"/>
      <c r="BD345" s="12"/>
      <c r="BE345" s="12"/>
      <c r="BF345" s="12"/>
      <c r="BP345" s="7"/>
      <c r="BQ345" s="14"/>
      <c r="BR345" s="14"/>
      <c r="BS345" s="14"/>
      <c r="BT345" s="14"/>
      <c r="BU345" s="14"/>
      <c r="BV345" s="14"/>
      <c r="CF345" s="3"/>
      <c r="CG345" s="12"/>
      <c r="CH345" s="12"/>
      <c r="CI345" s="12"/>
      <c r="CJ345" s="12"/>
      <c r="CK345" s="12"/>
      <c r="CL345" s="12"/>
    </row>
    <row r="346" spans="4:90" x14ac:dyDescent="0.3">
      <c r="D346" s="3"/>
      <c r="E346" s="12"/>
      <c r="F346" s="12"/>
      <c r="G346" s="12"/>
      <c r="H346" s="12"/>
      <c r="I346" s="12"/>
      <c r="J346" s="12"/>
      <c r="T346" s="7"/>
      <c r="U346" s="14"/>
      <c r="V346" s="14"/>
      <c r="W346" s="14"/>
      <c r="X346" s="14"/>
      <c r="Y346" s="14"/>
      <c r="Z346" s="14"/>
      <c r="AJ346" s="3"/>
      <c r="AK346" s="12"/>
      <c r="AL346" s="12"/>
      <c r="AM346" s="12"/>
      <c r="AN346" s="12"/>
      <c r="AO346" s="12"/>
      <c r="AP346" s="12"/>
      <c r="AZ346" s="3"/>
      <c r="BA346" s="12"/>
      <c r="BB346" s="12"/>
      <c r="BC346" s="12"/>
      <c r="BD346" s="12"/>
      <c r="BE346" s="12"/>
      <c r="BF346" s="12"/>
      <c r="BP346" s="7"/>
      <c r="BQ346" s="14"/>
      <c r="BR346" s="14"/>
      <c r="BS346" s="14"/>
      <c r="BT346" s="14"/>
      <c r="BU346" s="14"/>
      <c r="BV346" s="14"/>
      <c r="CF346" s="3"/>
      <c r="CG346" s="12"/>
      <c r="CH346" s="12"/>
      <c r="CI346" s="12"/>
      <c r="CJ346" s="12"/>
      <c r="CK346" s="12"/>
      <c r="CL346" s="12"/>
    </row>
    <row r="347" spans="4:90" x14ac:dyDescent="0.3">
      <c r="D347" s="3"/>
      <c r="E347" s="12"/>
      <c r="F347" s="12"/>
      <c r="G347" s="12"/>
      <c r="H347" s="12"/>
      <c r="I347" s="12"/>
      <c r="J347" s="12"/>
      <c r="T347" s="7"/>
      <c r="U347" s="14"/>
      <c r="V347" s="14"/>
      <c r="W347" s="14"/>
      <c r="X347" s="14"/>
      <c r="Y347" s="14"/>
      <c r="Z347" s="14"/>
      <c r="AJ347" s="3"/>
      <c r="AK347" s="12"/>
      <c r="AL347" s="12"/>
      <c r="AM347" s="12"/>
      <c r="AN347" s="12"/>
      <c r="AO347" s="12"/>
      <c r="AP347" s="12"/>
      <c r="AZ347" s="3"/>
      <c r="BA347" s="12"/>
      <c r="BB347" s="12"/>
      <c r="BC347" s="12"/>
      <c r="BD347" s="12"/>
      <c r="BE347" s="12"/>
      <c r="BF347" s="12"/>
      <c r="BP347" s="7"/>
      <c r="BQ347" s="14"/>
      <c r="BR347" s="14"/>
      <c r="BS347" s="14"/>
      <c r="BT347" s="14"/>
      <c r="BU347" s="14"/>
      <c r="BV347" s="14"/>
      <c r="CF347" s="3"/>
      <c r="CG347" s="12"/>
      <c r="CH347" s="12"/>
      <c r="CI347" s="12"/>
      <c r="CJ347" s="12"/>
      <c r="CK347" s="12"/>
      <c r="CL347" s="12"/>
    </row>
    <row r="348" spans="4:90" x14ac:dyDescent="0.3">
      <c r="D348" s="3"/>
      <c r="E348" s="12"/>
      <c r="F348" s="12"/>
      <c r="G348" s="12"/>
      <c r="H348" s="12"/>
      <c r="I348" s="12"/>
      <c r="J348" s="12"/>
      <c r="T348" s="7"/>
      <c r="U348" s="14"/>
      <c r="V348" s="14"/>
      <c r="W348" s="14"/>
      <c r="X348" s="14"/>
      <c r="Y348" s="14"/>
      <c r="Z348" s="14"/>
      <c r="AJ348" s="3"/>
      <c r="AK348" s="12"/>
      <c r="AL348" s="12"/>
      <c r="AM348" s="12"/>
      <c r="AN348" s="12"/>
      <c r="AO348" s="12"/>
      <c r="AP348" s="12"/>
      <c r="AZ348" s="3"/>
      <c r="BA348" s="12"/>
      <c r="BB348" s="12"/>
      <c r="BC348" s="12"/>
      <c r="BD348" s="12"/>
      <c r="BE348" s="12"/>
      <c r="BF348" s="12"/>
      <c r="BP348" s="7"/>
      <c r="BQ348" s="14"/>
      <c r="BR348" s="14"/>
      <c r="BS348" s="14"/>
      <c r="BT348" s="14"/>
      <c r="BU348" s="14"/>
      <c r="BV348" s="14"/>
      <c r="CF348" s="3"/>
      <c r="CG348" s="12"/>
      <c r="CH348" s="12"/>
      <c r="CI348" s="12"/>
      <c r="CJ348" s="12"/>
      <c r="CK348" s="12"/>
      <c r="CL348" s="12"/>
    </row>
    <row r="349" spans="4:90" x14ac:dyDescent="0.3">
      <c r="D349" s="3"/>
      <c r="E349" s="12"/>
      <c r="F349" s="12"/>
      <c r="G349" s="12"/>
      <c r="H349" s="12"/>
      <c r="I349" s="12"/>
      <c r="J349" s="12"/>
      <c r="T349" s="7"/>
      <c r="U349" s="14"/>
      <c r="V349" s="14"/>
      <c r="W349" s="14"/>
      <c r="X349" s="14"/>
      <c r="Y349" s="14"/>
      <c r="Z349" s="14"/>
      <c r="AJ349" s="3"/>
      <c r="AK349" s="12"/>
      <c r="AL349" s="12"/>
      <c r="AM349" s="12"/>
      <c r="AN349" s="12"/>
      <c r="AO349" s="12"/>
      <c r="AP349" s="12"/>
      <c r="AZ349" s="3"/>
      <c r="BA349" s="12"/>
      <c r="BB349" s="12"/>
      <c r="BC349" s="12"/>
      <c r="BD349" s="12"/>
      <c r="BE349" s="12"/>
      <c r="BF349" s="12"/>
      <c r="BP349" s="7"/>
      <c r="BQ349" s="14"/>
      <c r="BR349" s="14"/>
      <c r="BS349" s="14"/>
      <c r="BT349" s="14"/>
      <c r="BU349" s="14"/>
      <c r="BV349" s="14"/>
      <c r="CF349" s="3"/>
      <c r="CG349" s="12"/>
      <c r="CH349" s="12"/>
      <c r="CI349" s="12"/>
      <c r="CJ349" s="12"/>
      <c r="CK349" s="12"/>
      <c r="CL349" s="12"/>
    </row>
    <row r="350" spans="4:90" x14ac:dyDescent="0.3">
      <c r="D350" s="3"/>
      <c r="E350" s="12"/>
      <c r="F350" s="12"/>
      <c r="G350" s="12"/>
      <c r="H350" s="12"/>
      <c r="I350" s="12"/>
      <c r="J350" s="12"/>
      <c r="T350" s="7"/>
      <c r="U350" s="14"/>
      <c r="V350" s="14"/>
      <c r="W350" s="14"/>
      <c r="X350" s="14"/>
      <c r="Y350" s="14"/>
      <c r="Z350" s="14"/>
      <c r="AJ350" s="3"/>
      <c r="AK350" s="12"/>
      <c r="AL350" s="12"/>
      <c r="AM350" s="12"/>
      <c r="AN350" s="12"/>
      <c r="AO350" s="12"/>
      <c r="AP350" s="12"/>
      <c r="AZ350" s="3"/>
      <c r="BA350" s="12"/>
      <c r="BB350" s="12"/>
      <c r="BC350" s="12"/>
      <c r="BD350" s="12"/>
      <c r="BE350" s="12"/>
      <c r="BF350" s="12"/>
      <c r="BP350" s="7"/>
      <c r="BQ350" s="14"/>
      <c r="BR350" s="14"/>
      <c r="BS350" s="14"/>
      <c r="BT350" s="14"/>
      <c r="BU350" s="14"/>
      <c r="BV350" s="14"/>
      <c r="CF350" s="3"/>
      <c r="CG350" s="12"/>
      <c r="CH350" s="12"/>
      <c r="CI350" s="12"/>
      <c r="CJ350" s="12"/>
      <c r="CK350" s="12"/>
      <c r="CL350" s="12"/>
    </row>
    <row r="351" spans="4:90" x14ac:dyDescent="0.3">
      <c r="D351" s="3"/>
      <c r="E351" s="12"/>
      <c r="F351" s="12"/>
      <c r="G351" s="12"/>
      <c r="H351" s="12"/>
      <c r="I351" s="12"/>
      <c r="J351" s="12"/>
      <c r="T351" s="7"/>
      <c r="U351" s="14"/>
      <c r="V351" s="14"/>
      <c r="W351" s="14"/>
      <c r="X351" s="14"/>
      <c r="Y351" s="14"/>
      <c r="Z351" s="14"/>
      <c r="AJ351" s="3"/>
      <c r="AK351" s="12"/>
      <c r="AL351" s="12"/>
      <c r="AM351" s="12"/>
      <c r="AN351" s="12"/>
      <c r="AO351" s="12"/>
      <c r="AP351" s="12"/>
      <c r="AZ351" s="3"/>
      <c r="BA351" s="12"/>
      <c r="BB351" s="12"/>
      <c r="BC351" s="12"/>
      <c r="BD351" s="12"/>
      <c r="BE351" s="12"/>
      <c r="BF351" s="12"/>
      <c r="BP351" s="7"/>
      <c r="BQ351" s="14"/>
      <c r="BR351" s="14"/>
      <c r="BS351" s="14"/>
      <c r="BT351" s="14"/>
      <c r="BU351" s="14"/>
      <c r="BV351" s="14"/>
      <c r="CF351" s="3"/>
      <c r="CG351" s="12"/>
      <c r="CH351" s="12"/>
      <c r="CI351" s="12"/>
      <c r="CJ351" s="12"/>
      <c r="CK351" s="12"/>
      <c r="CL351" s="12"/>
    </row>
    <row r="352" spans="4:90" x14ac:dyDescent="0.3">
      <c r="D352" s="3"/>
      <c r="E352" s="12"/>
      <c r="F352" s="12"/>
      <c r="G352" s="12"/>
      <c r="H352" s="12"/>
      <c r="I352" s="12"/>
      <c r="J352" s="12"/>
      <c r="T352" s="7"/>
      <c r="U352" s="14"/>
      <c r="V352" s="14"/>
      <c r="W352" s="14"/>
      <c r="X352" s="14"/>
      <c r="Y352" s="14"/>
      <c r="Z352" s="14"/>
      <c r="AJ352" s="3"/>
      <c r="AK352" s="12"/>
      <c r="AL352" s="12"/>
      <c r="AM352" s="12"/>
      <c r="AN352" s="12"/>
      <c r="AO352" s="12"/>
      <c r="AP352" s="12"/>
      <c r="AZ352" s="3"/>
      <c r="BA352" s="12"/>
      <c r="BB352" s="12"/>
      <c r="BC352" s="12"/>
      <c r="BD352" s="12"/>
      <c r="BE352" s="12"/>
      <c r="BF352" s="12"/>
      <c r="BP352" s="7"/>
      <c r="BQ352" s="14"/>
      <c r="BR352" s="14"/>
      <c r="BS352" s="14"/>
      <c r="BT352" s="14"/>
      <c r="BU352" s="14"/>
      <c r="BV352" s="14"/>
      <c r="CF352" s="3"/>
      <c r="CG352" s="12"/>
      <c r="CH352" s="12"/>
      <c r="CI352" s="12"/>
      <c r="CJ352" s="12"/>
      <c r="CK352" s="12"/>
      <c r="CL352" s="12"/>
    </row>
    <row r="353" spans="4:90" x14ac:dyDescent="0.3">
      <c r="D353" s="3"/>
      <c r="E353" s="12"/>
      <c r="F353" s="12"/>
      <c r="G353" s="12"/>
      <c r="H353" s="12"/>
      <c r="I353" s="12"/>
      <c r="J353" s="12"/>
      <c r="T353" s="7"/>
      <c r="U353" s="14"/>
      <c r="V353" s="14"/>
      <c r="W353" s="14"/>
      <c r="X353" s="14"/>
      <c r="Y353" s="14"/>
      <c r="Z353" s="14"/>
      <c r="AJ353" s="3"/>
      <c r="AK353" s="12"/>
      <c r="AL353" s="12"/>
      <c r="AM353" s="12"/>
      <c r="AN353" s="12"/>
      <c r="AO353" s="12"/>
      <c r="AP353" s="12"/>
      <c r="AZ353" s="3"/>
      <c r="BA353" s="12"/>
      <c r="BB353" s="12"/>
      <c r="BC353" s="12"/>
      <c r="BD353" s="12"/>
      <c r="BE353" s="12"/>
      <c r="BF353" s="12"/>
      <c r="BP353" s="7"/>
      <c r="BQ353" s="14"/>
      <c r="BR353" s="14"/>
      <c r="BS353" s="14"/>
      <c r="BT353" s="14"/>
      <c r="BU353" s="14"/>
      <c r="BV353" s="14"/>
      <c r="CF353" s="3"/>
      <c r="CG353" s="12"/>
      <c r="CH353" s="12"/>
      <c r="CI353" s="12"/>
      <c r="CJ353" s="12"/>
      <c r="CK353" s="12"/>
      <c r="CL353" s="12"/>
    </row>
    <row r="354" spans="4:90" x14ac:dyDescent="0.3">
      <c r="D354" s="3"/>
      <c r="E354" s="12"/>
      <c r="F354" s="12"/>
      <c r="G354" s="12"/>
      <c r="H354" s="12"/>
      <c r="I354" s="12"/>
      <c r="J354" s="12"/>
      <c r="T354" s="7"/>
      <c r="U354" s="14"/>
      <c r="V354" s="14"/>
      <c r="W354" s="14"/>
      <c r="X354" s="14"/>
      <c r="Y354" s="14"/>
      <c r="Z354" s="14"/>
      <c r="AJ354" s="3"/>
      <c r="AK354" s="12"/>
      <c r="AL354" s="12"/>
      <c r="AM354" s="12"/>
      <c r="AN354" s="12"/>
      <c r="AO354" s="12"/>
      <c r="AP354" s="12"/>
      <c r="AZ354" s="3"/>
      <c r="BA354" s="12"/>
      <c r="BB354" s="12"/>
      <c r="BC354" s="12"/>
      <c r="BD354" s="12"/>
      <c r="BE354" s="12"/>
      <c r="BF354" s="12"/>
      <c r="BP354" s="7"/>
      <c r="BQ354" s="14"/>
      <c r="BR354" s="14"/>
      <c r="BS354" s="14"/>
      <c r="BT354" s="14"/>
      <c r="BU354" s="14"/>
      <c r="BV354" s="14"/>
      <c r="CF354" s="3"/>
      <c r="CG354" s="12"/>
      <c r="CH354" s="12"/>
      <c r="CI354" s="12"/>
      <c r="CJ354" s="12"/>
      <c r="CK354" s="12"/>
      <c r="CL354" s="12"/>
    </row>
    <row r="355" spans="4:90" x14ac:dyDescent="0.3">
      <c r="D355" s="3"/>
      <c r="E355" s="12"/>
      <c r="F355" s="12"/>
      <c r="G355" s="12"/>
      <c r="H355" s="12"/>
      <c r="I355" s="12"/>
      <c r="J355" s="12"/>
      <c r="T355" s="7"/>
      <c r="U355" s="14"/>
      <c r="V355" s="14"/>
      <c r="W355" s="14"/>
      <c r="X355" s="14"/>
      <c r="Y355" s="14"/>
      <c r="Z355" s="14"/>
      <c r="AJ355" s="3"/>
      <c r="AK355" s="12"/>
      <c r="AL355" s="12"/>
      <c r="AM355" s="12"/>
      <c r="AN355" s="12"/>
      <c r="AO355" s="12"/>
      <c r="AP355" s="12"/>
      <c r="AZ355" s="3"/>
      <c r="BA355" s="12"/>
      <c r="BB355" s="12"/>
      <c r="BC355" s="12"/>
      <c r="BD355" s="12"/>
      <c r="BE355" s="12"/>
      <c r="BF355" s="12"/>
      <c r="BP355" s="7"/>
      <c r="BQ355" s="14"/>
      <c r="BR355" s="14"/>
      <c r="BS355" s="14"/>
      <c r="BT355" s="14"/>
      <c r="BU355" s="14"/>
      <c r="BV355" s="14"/>
      <c r="CF355" s="3"/>
      <c r="CG355" s="12"/>
      <c r="CH355" s="12"/>
      <c r="CI355" s="12"/>
      <c r="CJ355" s="12"/>
      <c r="CK355" s="12"/>
      <c r="CL355" s="12"/>
    </row>
    <row r="356" spans="4:90" x14ac:dyDescent="0.3">
      <c r="D356" s="3"/>
      <c r="E356" s="12"/>
      <c r="F356" s="12"/>
      <c r="G356" s="12"/>
      <c r="H356" s="12"/>
      <c r="I356" s="12"/>
      <c r="J356" s="12"/>
      <c r="T356" s="7"/>
      <c r="U356" s="14"/>
      <c r="V356" s="14"/>
      <c r="W356" s="14"/>
      <c r="X356" s="14"/>
      <c r="Y356" s="14"/>
      <c r="Z356" s="14"/>
      <c r="AJ356" s="3"/>
      <c r="AK356" s="12"/>
      <c r="AL356" s="12"/>
      <c r="AM356" s="12"/>
      <c r="AN356" s="12"/>
      <c r="AO356" s="12"/>
      <c r="AP356" s="12"/>
      <c r="AZ356" s="3"/>
      <c r="BA356" s="12"/>
      <c r="BB356" s="12"/>
      <c r="BC356" s="12"/>
      <c r="BD356" s="12"/>
      <c r="BE356" s="12"/>
      <c r="BF356" s="12"/>
      <c r="BP356" s="7"/>
      <c r="BQ356" s="14"/>
      <c r="BR356" s="14"/>
      <c r="BS356" s="14"/>
      <c r="BT356" s="14"/>
      <c r="BU356" s="14"/>
      <c r="BV356" s="14"/>
      <c r="CF356" s="3"/>
      <c r="CG356" s="12"/>
      <c r="CH356" s="12"/>
      <c r="CI356" s="12"/>
      <c r="CJ356" s="12"/>
      <c r="CK356" s="12"/>
      <c r="CL356" s="12"/>
    </row>
    <row r="357" spans="4:90" x14ac:dyDescent="0.3">
      <c r="D357" s="3"/>
      <c r="E357" s="12"/>
      <c r="F357" s="12"/>
      <c r="G357" s="12"/>
      <c r="H357" s="12"/>
      <c r="I357" s="12"/>
      <c r="J357" s="12"/>
      <c r="T357" s="7"/>
      <c r="U357" s="14"/>
      <c r="V357" s="14"/>
      <c r="W357" s="14"/>
      <c r="X357" s="14"/>
      <c r="Y357" s="14"/>
      <c r="Z357" s="14"/>
      <c r="AJ357" s="3"/>
      <c r="AK357" s="12"/>
      <c r="AL357" s="12"/>
      <c r="AM357" s="12"/>
      <c r="AN357" s="12"/>
      <c r="AO357" s="12"/>
      <c r="AP357" s="12"/>
      <c r="AZ357" s="3"/>
      <c r="BA357" s="12"/>
      <c r="BB357" s="12"/>
      <c r="BC357" s="12"/>
      <c r="BD357" s="12"/>
      <c r="BE357" s="12"/>
      <c r="BF357" s="12"/>
      <c r="BP357" s="7"/>
      <c r="BQ357" s="14"/>
      <c r="BR357" s="14"/>
      <c r="BS357" s="14"/>
      <c r="BT357" s="14"/>
      <c r="BU357" s="14"/>
      <c r="BV357" s="14"/>
      <c r="CF357" s="3"/>
      <c r="CG357" s="12"/>
      <c r="CH357" s="12"/>
      <c r="CI357" s="12"/>
      <c r="CJ357" s="12"/>
      <c r="CK357" s="12"/>
      <c r="CL357" s="12"/>
    </row>
    <row r="358" spans="4:90" x14ac:dyDescent="0.3">
      <c r="D358" s="3"/>
      <c r="E358" s="12"/>
      <c r="F358" s="12"/>
      <c r="G358" s="12"/>
      <c r="H358" s="12"/>
      <c r="I358" s="12"/>
      <c r="J358" s="12"/>
      <c r="T358" s="7"/>
      <c r="U358" s="14"/>
      <c r="V358" s="14"/>
      <c r="W358" s="14"/>
      <c r="X358" s="14"/>
      <c r="Y358" s="14"/>
      <c r="Z358" s="14"/>
      <c r="AJ358" s="3"/>
      <c r="AK358" s="12"/>
      <c r="AL358" s="12"/>
      <c r="AM358" s="12"/>
      <c r="AN358" s="12"/>
      <c r="AO358" s="12"/>
      <c r="AP358" s="12"/>
      <c r="AZ358" s="3"/>
      <c r="BA358" s="12"/>
      <c r="BB358" s="12"/>
      <c r="BC358" s="12"/>
      <c r="BD358" s="12"/>
      <c r="BE358" s="12"/>
      <c r="BF358" s="12"/>
      <c r="BP358" s="7"/>
      <c r="BQ358" s="14"/>
      <c r="BR358" s="14"/>
      <c r="BS358" s="14"/>
      <c r="BT358" s="14"/>
      <c r="BU358" s="14"/>
      <c r="BV358" s="14"/>
      <c r="CF358" s="3"/>
      <c r="CG358" s="12"/>
      <c r="CH358" s="12"/>
      <c r="CI358" s="12"/>
      <c r="CJ358" s="12"/>
      <c r="CK358" s="12"/>
      <c r="CL358" s="12"/>
    </row>
    <row r="359" spans="4:90" x14ac:dyDescent="0.3">
      <c r="D359" s="3"/>
      <c r="E359" s="12"/>
      <c r="F359" s="12"/>
      <c r="G359" s="12"/>
      <c r="H359" s="12"/>
      <c r="I359" s="12"/>
      <c r="J359" s="12"/>
      <c r="T359" s="7"/>
      <c r="U359" s="14"/>
      <c r="V359" s="14"/>
      <c r="W359" s="14"/>
      <c r="X359" s="14"/>
      <c r="Y359" s="14"/>
      <c r="Z359" s="14"/>
      <c r="AJ359" s="3"/>
      <c r="AK359" s="12"/>
      <c r="AL359" s="12"/>
      <c r="AM359" s="12"/>
      <c r="AN359" s="12"/>
      <c r="AO359" s="12"/>
      <c r="AP359" s="12"/>
      <c r="AZ359" s="3"/>
      <c r="BA359" s="12"/>
      <c r="BB359" s="12"/>
      <c r="BC359" s="12"/>
      <c r="BD359" s="12"/>
      <c r="BE359" s="12"/>
      <c r="BF359" s="12"/>
      <c r="BP359" s="7"/>
      <c r="BQ359" s="14"/>
      <c r="BR359" s="14"/>
      <c r="BS359" s="14"/>
      <c r="BT359" s="14"/>
      <c r="BU359" s="14"/>
      <c r="BV359" s="14"/>
      <c r="CF359" s="3"/>
      <c r="CG359" s="12"/>
      <c r="CH359" s="12"/>
      <c r="CI359" s="12"/>
      <c r="CJ359" s="12"/>
      <c r="CK359" s="12"/>
      <c r="CL359" s="12"/>
    </row>
    <row r="360" spans="4:90" x14ac:dyDescent="0.3">
      <c r="D360" s="3"/>
      <c r="E360" s="12"/>
      <c r="F360" s="12"/>
      <c r="G360" s="12"/>
      <c r="H360" s="12"/>
      <c r="I360" s="12"/>
      <c r="J360" s="12"/>
      <c r="T360" s="7"/>
      <c r="U360" s="14"/>
      <c r="V360" s="14"/>
      <c r="W360" s="14"/>
      <c r="X360" s="14"/>
      <c r="Y360" s="14"/>
      <c r="Z360" s="14"/>
      <c r="AJ360" s="3"/>
      <c r="AK360" s="12"/>
      <c r="AL360" s="12"/>
      <c r="AM360" s="12"/>
      <c r="AN360" s="12"/>
      <c r="AO360" s="12"/>
      <c r="AP360" s="12"/>
      <c r="AZ360" s="3"/>
      <c r="BA360" s="12"/>
      <c r="BB360" s="12"/>
      <c r="BC360" s="12"/>
      <c r="BD360" s="12"/>
      <c r="BE360" s="12"/>
      <c r="BF360" s="12"/>
      <c r="BP360" s="7"/>
      <c r="BQ360" s="14"/>
      <c r="BR360" s="14"/>
      <c r="BS360" s="14"/>
      <c r="BT360" s="14"/>
      <c r="BU360" s="14"/>
      <c r="BV360" s="14"/>
      <c r="CF360" s="3"/>
      <c r="CG360" s="12"/>
      <c r="CH360" s="12"/>
      <c r="CI360" s="12"/>
      <c r="CJ360" s="12"/>
      <c r="CK360" s="12"/>
      <c r="CL360" s="12"/>
    </row>
    <row r="361" spans="4:90" x14ac:dyDescent="0.3">
      <c r="D361" s="3"/>
      <c r="E361" s="12"/>
      <c r="F361" s="12"/>
      <c r="G361" s="12"/>
      <c r="H361" s="12"/>
      <c r="I361" s="12"/>
      <c r="J361" s="12"/>
      <c r="T361" s="7"/>
      <c r="U361" s="14"/>
      <c r="V361" s="14"/>
      <c r="W361" s="14"/>
      <c r="X361" s="14"/>
      <c r="Y361" s="14"/>
      <c r="Z361" s="14"/>
      <c r="AJ361" s="3"/>
      <c r="AK361" s="12"/>
      <c r="AL361" s="12"/>
      <c r="AM361" s="12"/>
      <c r="AN361" s="12"/>
      <c r="AO361" s="12"/>
      <c r="AP361" s="12"/>
      <c r="AZ361" s="3"/>
      <c r="BA361" s="12"/>
      <c r="BB361" s="12"/>
      <c r="BC361" s="12"/>
      <c r="BD361" s="12"/>
      <c r="BE361" s="12"/>
      <c r="BF361" s="12"/>
      <c r="BP361" s="7"/>
      <c r="BQ361" s="14"/>
      <c r="BR361" s="14"/>
      <c r="BS361" s="14"/>
      <c r="BT361" s="14"/>
      <c r="BU361" s="14"/>
      <c r="BV361" s="14"/>
      <c r="CF361" s="3"/>
      <c r="CG361" s="12"/>
      <c r="CH361" s="12"/>
      <c r="CI361" s="12"/>
      <c r="CJ361" s="12"/>
      <c r="CK361" s="12"/>
      <c r="CL361" s="12"/>
    </row>
    <row r="362" spans="4:90" x14ac:dyDescent="0.3">
      <c r="D362" s="3"/>
      <c r="E362" s="12"/>
      <c r="F362" s="12"/>
      <c r="G362" s="12"/>
      <c r="H362" s="12"/>
      <c r="I362" s="12"/>
      <c r="J362" s="12"/>
      <c r="T362" s="7"/>
      <c r="U362" s="14"/>
      <c r="V362" s="14"/>
      <c r="W362" s="14"/>
      <c r="X362" s="14"/>
      <c r="Y362" s="14"/>
      <c r="Z362" s="14"/>
      <c r="AJ362" s="3"/>
      <c r="AK362" s="12"/>
      <c r="AL362" s="12"/>
      <c r="AM362" s="12"/>
      <c r="AN362" s="12"/>
      <c r="AO362" s="12"/>
      <c r="AP362" s="12"/>
      <c r="AZ362" s="3"/>
      <c r="BA362" s="12"/>
      <c r="BB362" s="12"/>
      <c r="BC362" s="12"/>
      <c r="BD362" s="12"/>
      <c r="BE362" s="12"/>
      <c r="BF362" s="12"/>
      <c r="BP362" s="7"/>
      <c r="BQ362" s="14"/>
      <c r="BR362" s="14"/>
      <c r="BS362" s="14"/>
      <c r="BT362" s="14"/>
      <c r="BU362" s="14"/>
      <c r="BV362" s="14"/>
      <c r="CF362" s="3"/>
      <c r="CG362" s="12"/>
      <c r="CH362" s="12"/>
      <c r="CI362" s="12"/>
      <c r="CJ362" s="12"/>
      <c r="CK362" s="12"/>
      <c r="CL362" s="12"/>
    </row>
    <row r="363" spans="4:90" x14ac:dyDescent="0.3">
      <c r="D363" s="3"/>
      <c r="E363" s="12"/>
      <c r="F363" s="12"/>
      <c r="G363" s="12"/>
      <c r="H363" s="12"/>
      <c r="I363" s="12"/>
      <c r="J363" s="12"/>
      <c r="T363" s="7"/>
      <c r="U363" s="14"/>
      <c r="V363" s="14"/>
      <c r="W363" s="14"/>
      <c r="X363" s="14"/>
      <c r="Y363" s="14"/>
      <c r="Z363" s="14"/>
      <c r="AJ363" s="3"/>
      <c r="AK363" s="12"/>
      <c r="AL363" s="12"/>
      <c r="AM363" s="12"/>
      <c r="AN363" s="12"/>
      <c r="AO363" s="12"/>
      <c r="AP363" s="12"/>
      <c r="AZ363" s="3"/>
      <c r="BA363" s="12"/>
      <c r="BB363" s="12"/>
      <c r="BC363" s="12"/>
      <c r="BD363" s="12"/>
      <c r="BE363" s="12"/>
      <c r="BF363" s="12"/>
      <c r="BP363" s="7"/>
      <c r="BQ363" s="14"/>
      <c r="BR363" s="14"/>
      <c r="BS363" s="14"/>
      <c r="BT363" s="14"/>
      <c r="BU363" s="14"/>
      <c r="BV363" s="14"/>
      <c r="CF363" s="3"/>
      <c r="CG363" s="12"/>
      <c r="CH363" s="12"/>
      <c r="CI363" s="12"/>
      <c r="CJ363" s="12"/>
      <c r="CK363" s="12"/>
      <c r="CL363" s="12"/>
    </row>
    <row r="364" spans="4:90" x14ac:dyDescent="0.3">
      <c r="D364" s="3"/>
      <c r="E364" s="12"/>
      <c r="F364" s="12"/>
      <c r="G364" s="12"/>
      <c r="H364" s="12"/>
      <c r="I364" s="12"/>
      <c r="J364" s="12"/>
      <c r="T364" s="7"/>
      <c r="U364" s="14"/>
      <c r="V364" s="14"/>
      <c r="W364" s="14"/>
      <c r="X364" s="14"/>
      <c r="Y364" s="14"/>
      <c r="Z364" s="14"/>
      <c r="AJ364" s="3"/>
      <c r="AK364" s="12"/>
      <c r="AL364" s="12"/>
      <c r="AM364" s="12"/>
      <c r="AN364" s="12"/>
      <c r="AO364" s="12"/>
      <c r="AP364" s="12"/>
      <c r="AZ364" s="3"/>
      <c r="BA364" s="12"/>
      <c r="BB364" s="12"/>
      <c r="BC364" s="12"/>
      <c r="BD364" s="12"/>
      <c r="BE364" s="12"/>
      <c r="BF364" s="12"/>
      <c r="BP364" s="7"/>
      <c r="BQ364" s="14"/>
      <c r="BR364" s="14"/>
      <c r="BS364" s="14"/>
      <c r="BT364" s="14"/>
      <c r="BU364" s="14"/>
      <c r="BV364" s="14"/>
      <c r="CF364" s="3"/>
      <c r="CG364" s="12"/>
      <c r="CH364" s="12"/>
      <c r="CI364" s="12"/>
      <c r="CJ364" s="12"/>
      <c r="CK364" s="12"/>
      <c r="CL364" s="12"/>
    </row>
  </sheetData>
  <mergeCells count="18">
    <mergeCell ref="D9:J9"/>
    <mergeCell ref="T9:Z9"/>
    <mergeCell ref="AJ9:AP9"/>
    <mergeCell ref="AZ9:BF9"/>
    <mergeCell ref="BP9:BV9"/>
    <mergeCell ref="CF9:CL9"/>
    <mergeCell ref="AZ1:AZ7"/>
    <mergeCell ref="BG1:BL1"/>
    <mergeCell ref="BP1:BP7"/>
    <mergeCell ref="BW1:CB1"/>
    <mergeCell ref="CF1:CF7"/>
    <mergeCell ref="CM1:CR1"/>
    <mergeCell ref="D1:D7"/>
    <mergeCell ref="K1:P1"/>
    <mergeCell ref="T1:T7"/>
    <mergeCell ref="AA1:AF1"/>
    <mergeCell ref="AJ1:AJ7"/>
    <mergeCell ref="AQ1:AV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35782-BD05-4B33-B5E3-B37632436F05}">
  <sheetPr>
    <tabColor rgb="FFFF0000"/>
    <pageSetUpPr autoPageBreaks="0"/>
  </sheetPr>
  <dimension ref="A1:AX170"/>
  <sheetViews>
    <sheetView tabSelected="1" zoomScale="70" zoomScaleNormal="70" workbookViewId="0">
      <selection activeCell="AB144" sqref="AB144"/>
    </sheetView>
  </sheetViews>
  <sheetFormatPr defaultRowHeight="14.4" x14ac:dyDescent="0.3"/>
  <cols>
    <col min="2" max="2" width="14.6640625" bestFit="1" customWidth="1"/>
    <col min="3" max="4" width="10.5546875" bestFit="1" customWidth="1"/>
    <col min="5" max="5" width="10.6640625" customWidth="1"/>
    <col min="6" max="6" width="14.5546875" bestFit="1" customWidth="1"/>
    <col min="7" max="7" width="14.33203125" bestFit="1" customWidth="1"/>
    <col min="8" max="8" width="10.5546875" bestFit="1" customWidth="1"/>
    <col min="10" max="10" width="14.6640625" bestFit="1" customWidth="1"/>
    <col min="11" max="12" width="10.5546875" bestFit="1" customWidth="1"/>
    <col min="14" max="14" width="11.33203125" bestFit="1" customWidth="1"/>
    <col min="15" max="15" width="14.33203125" bestFit="1" customWidth="1"/>
    <col min="18" max="18" width="19.44140625" bestFit="1" customWidth="1"/>
    <col min="19" max="19" width="10.5546875" bestFit="1" customWidth="1"/>
    <col min="23" max="23" width="14.33203125" bestFit="1" customWidth="1"/>
    <col min="26" max="26" width="12.33203125" bestFit="1" customWidth="1"/>
    <col min="31" max="31" width="14.33203125" bestFit="1" customWidth="1"/>
    <col min="39" max="39" width="14.33203125" bestFit="1" customWidth="1"/>
    <col min="47" max="47" width="14.33203125" bestFit="1" customWidth="1"/>
    <col min="51" max="51" width="13.6640625" bestFit="1" customWidth="1"/>
  </cols>
  <sheetData>
    <row r="1" spans="1:50" ht="14.4" customHeight="1" x14ac:dyDescent="0.3">
      <c r="A1" s="85" t="s">
        <v>2</v>
      </c>
      <c r="AX1" s="84" t="s">
        <v>2</v>
      </c>
    </row>
    <row r="2" spans="1:50" x14ac:dyDescent="0.3">
      <c r="A2" s="85"/>
      <c r="AX2" s="84"/>
    </row>
    <row r="3" spans="1:50" x14ac:dyDescent="0.3">
      <c r="A3" s="85"/>
      <c r="AX3" s="84"/>
    </row>
    <row r="4" spans="1:50" x14ac:dyDescent="0.3">
      <c r="A4" s="85"/>
      <c r="AX4" s="84"/>
    </row>
    <row r="5" spans="1:50" x14ac:dyDescent="0.3">
      <c r="A5" s="85"/>
      <c r="AX5" s="84"/>
    </row>
    <row r="6" spans="1:50" x14ac:dyDescent="0.3">
      <c r="A6" s="85"/>
      <c r="AX6" s="84"/>
    </row>
    <row r="7" spans="1:50" x14ac:dyDescent="0.3">
      <c r="A7" s="85"/>
      <c r="AX7" s="84"/>
    </row>
    <row r="8" spans="1:50" x14ac:dyDescent="0.3">
      <c r="A8" s="85"/>
      <c r="AX8" s="84"/>
    </row>
    <row r="9" spans="1:50" x14ac:dyDescent="0.3">
      <c r="A9" s="85"/>
      <c r="AX9" s="84"/>
    </row>
    <row r="10" spans="1:50" x14ac:dyDescent="0.3">
      <c r="A10" s="85"/>
      <c r="AX10" s="84"/>
    </row>
    <row r="11" spans="1:50" x14ac:dyDescent="0.3">
      <c r="A11" s="85"/>
      <c r="AX11" s="84"/>
    </row>
    <row r="12" spans="1:50" x14ac:dyDescent="0.3">
      <c r="A12" s="85"/>
      <c r="AX12" s="84"/>
    </row>
    <row r="13" spans="1:50" x14ac:dyDescent="0.3">
      <c r="A13" s="85"/>
      <c r="AX13" s="84"/>
    </row>
    <row r="14" spans="1:50" x14ac:dyDescent="0.3">
      <c r="A14" s="85"/>
      <c r="AX14" s="84"/>
    </row>
    <row r="15" spans="1:50" x14ac:dyDescent="0.3">
      <c r="A15" s="85"/>
      <c r="AX15" s="84"/>
    </row>
    <row r="16" spans="1:50" x14ac:dyDescent="0.3">
      <c r="A16" s="71"/>
      <c r="B16" s="71"/>
      <c r="C16" s="71"/>
      <c r="D16" s="71"/>
      <c r="E16" s="71"/>
      <c r="F16" s="71"/>
      <c r="G16" s="71"/>
      <c r="H16" s="71"/>
      <c r="I16" s="71"/>
      <c r="J16" s="71"/>
      <c r="K16" s="71"/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</row>
    <row r="17" spans="1:50" x14ac:dyDescent="0.3">
      <c r="A17" s="71"/>
      <c r="B17" s="3" t="s">
        <v>58</v>
      </c>
      <c r="C17" s="74" t="s">
        <v>57</v>
      </c>
      <c r="D17" s="3" t="s">
        <v>56</v>
      </c>
      <c r="E17" s="3" t="s">
        <v>28</v>
      </c>
      <c r="F17" s="3" t="s">
        <v>55</v>
      </c>
      <c r="G17" s="64" t="s">
        <v>33</v>
      </c>
      <c r="H17" s="64">
        <f>ROUND(((SUM('[1]6 Week'!E4:E7))/4)+2*Trifecta!F18,0)</f>
        <v>152</v>
      </c>
      <c r="I17" s="71"/>
      <c r="J17" s="3" t="s">
        <v>58</v>
      </c>
      <c r="K17" s="74" t="s">
        <v>57</v>
      </c>
      <c r="L17" s="3" t="s">
        <v>56</v>
      </c>
      <c r="M17" s="3" t="s">
        <v>28</v>
      </c>
      <c r="N17" s="3" t="s">
        <v>55</v>
      </c>
      <c r="O17" s="64" t="s">
        <v>33</v>
      </c>
      <c r="P17" s="64">
        <f>ROUND(((SUM('[1]6 Week'!F4:F7))/4)+2*Trifecta!N18,0)</f>
        <v>80</v>
      </c>
      <c r="Q17" s="71"/>
      <c r="R17" s="3" t="s">
        <v>58</v>
      </c>
      <c r="S17" s="74" t="s">
        <v>57</v>
      </c>
      <c r="T17" s="3" t="s">
        <v>56</v>
      </c>
      <c r="U17" s="3" t="s">
        <v>28</v>
      </c>
      <c r="V17" s="3" t="s">
        <v>55</v>
      </c>
      <c r="W17" s="64" t="s">
        <v>33</v>
      </c>
      <c r="X17" s="64">
        <f>ROUND(((SUM('[1]6 Week'!G4:G7))/4)+2*Trifecta!V18,0)</f>
        <v>0</v>
      </c>
      <c r="Y17" s="71"/>
      <c r="Z17" s="3" t="s">
        <v>58</v>
      </c>
      <c r="AA17" s="74" t="s">
        <v>57</v>
      </c>
      <c r="AB17" s="3" t="s">
        <v>56</v>
      </c>
      <c r="AC17" s="3" t="s">
        <v>28</v>
      </c>
      <c r="AD17" s="3" t="s">
        <v>55</v>
      </c>
      <c r="AE17" s="56" t="s">
        <v>33</v>
      </c>
      <c r="AF17" s="56">
        <f>ROUND(((SUM('[1]6 Week'!H4:H7))/4)+2*Trifecta!AD18,0)</f>
        <v>2</v>
      </c>
      <c r="AG17" s="71"/>
      <c r="AH17" s="3" t="s">
        <v>58</v>
      </c>
      <c r="AI17" s="74" t="s">
        <v>57</v>
      </c>
      <c r="AJ17" s="3" t="s">
        <v>56</v>
      </c>
      <c r="AK17" s="3" t="s">
        <v>28</v>
      </c>
      <c r="AL17" s="3" t="s">
        <v>55</v>
      </c>
      <c r="AM17" s="56" t="s">
        <v>33</v>
      </c>
      <c r="AN17" s="56">
        <f>ROUND(((SUM('[1]6 Week'!I4:I7))/4)+2*Trifecta!AL18,0)</f>
        <v>33</v>
      </c>
      <c r="AO17" s="71"/>
      <c r="AP17" s="3" t="s">
        <v>58</v>
      </c>
      <c r="AQ17" s="74" t="s">
        <v>57</v>
      </c>
      <c r="AR17" s="3" t="s">
        <v>56</v>
      </c>
      <c r="AS17" s="3" t="s">
        <v>28</v>
      </c>
      <c r="AT17" s="3" t="s">
        <v>55</v>
      </c>
      <c r="AU17" s="56" t="s">
        <v>33</v>
      </c>
      <c r="AV17" s="56">
        <f>ROUND(((SUM('[1]6 Week'!J4:J7))/4)+2*Trifecta!AT18,0)</f>
        <v>18</v>
      </c>
      <c r="AW17" s="71"/>
      <c r="AX17" s="71"/>
    </row>
    <row r="18" spans="1:50" x14ac:dyDescent="0.3">
      <c r="A18" s="71"/>
      <c r="B18" s="45">
        <f>ROUND(SUM('[1]6 Week'!E2:E5)/4,0)</f>
        <v>113</v>
      </c>
      <c r="C18" s="45">
        <f>ROUND(SUM('[1]6 Week'!E3:E6)/4,0)</f>
        <v>125</v>
      </c>
      <c r="D18" s="45">
        <f>ROUND(SUM('[1]6 Week'!E4:E7)/4,0)</f>
        <v>128</v>
      </c>
      <c r="E18" s="73">
        <f>AVERAGE('[1]6 Week'!E8)</f>
        <v>120.66666666666667</v>
      </c>
      <c r="F18" s="45">
        <f>ROUND(_xlfn.STDEV.S('[1]6 Week'!E4:E7),0)</f>
        <v>12</v>
      </c>
      <c r="G18" s="44" t="s">
        <v>32</v>
      </c>
      <c r="H18" s="59">
        <f>AVERAGE('[1]6 Week'!E4:E7)</f>
        <v>128.25</v>
      </c>
      <c r="I18" s="71"/>
      <c r="J18" s="45">
        <f>ROUND(SUM('[1]6 Week'!F2:F5)/4,0)</f>
        <v>52</v>
      </c>
      <c r="K18" s="45">
        <f>ROUND(SUM('[1]6 Week'!F3:F6)/4,0)</f>
        <v>57</v>
      </c>
      <c r="L18" s="45">
        <f>ROUND(SUM('[1]6 Week'!F4:F7)/4,0)</f>
        <v>62</v>
      </c>
      <c r="M18" s="73">
        <f>AVERAGE('[1]6 Week'!F8)</f>
        <v>54.666666666666664</v>
      </c>
      <c r="N18" s="45">
        <f>ROUND(_xlfn.STDEV.S('[1]6 Week'!F4:F7),0)</f>
        <v>9</v>
      </c>
      <c r="O18" s="44" t="s">
        <v>32</v>
      </c>
      <c r="P18" s="59">
        <f>AVERAGE('[1]6 Week'!F4:F7)</f>
        <v>62</v>
      </c>
      <c r="Q18" s="71"/>
      <c r="R18" s="45">
        <f>ROUND(SUM('[1]6 Week'!G2:G5)/4,0)</f>
        <v>6</v>
      </c>
      <c r="S18" s="45">
        <f>ROUND(SUM('[1]6 Week'!G3:G6)/4,0)</f>
        <v>0</v>
      </c>
      <c r="T18" s="45">
        <f>ROUND(SUM('[1]6 Week'!G4:G7)/4,0)</f>
        <v>0</v>
      </c>
      <c r="U18" s="73">
        <f>AVERAGE('[1]6 Week'!G8)</f>
        <v>3.8333333333333335</v>
      </c>
      <c r="V18" s="45">
        <f>ROUND(_xlfn.STDEV.S('[1]6 Week'!G4:G7),0)</f>
        <v>0</v>
      </c>
      <c r="W18" s="44" t="s">
        <v>32</v>
      </c>
      <c r="X18" s="59">
        <f>AVERAGE('[1]6 Week'!G4:G7)</f>
        <v>0</v>
      </c>
      <c r="Y18" s="71"/>
      <c r="Z18" s="45">
        <f>ROUND(SUM('[1]6 Week'!H2:H5)/4,0)</f>
        <v>7</v>
      </c>
      <c r="AA18" s="45">
        <f>ROUND(SUM('[1]6 Week'!H3:H6)/4,0)</f>
        <v>1</v>
      </c>
      <c r="AB18" s="45">
        <f>ROUND(SUM('[1]6 Week'!H4:H7)/4,0)</f>
        <v>0</v>
      </c>
      <c r="AC18" s="73">
        <f>AVERAGE('[1]6 Week'!H8)</f>
        <v>4.5</v>
      </c>
      <c r="AD18" s="45">
        <f>ROUND(_xlfn.STDEV.S('[1]6 Week'!H4:H7),0)</f>
        <v>1</v>
      </c>
      <c r="AE18" s="44" t="s">
        <v>32</v>
      </c>
      <c r="AF18" s="59">
        <f>AVERAGE('[1]6 Week'!H4:H7)</f>
        <v>0.25</v>
      </c>
      <c r="AG18" s="71"/>
      <c r="AH18" s="45">
        <f>ROUND(SUM('[1]6 Week'!I2:I5)/4,0)</f>
        <v>20</v>
      </c>
      <c r="AI18" s="45">
        <f>ROUND(SUM('[1]6 Week'!I3:I6)/4,0)</f>
        <v>22</v>
      </c>
      <c r="AJ18" s="45">
        <f>ROUND(SUM('[1]6 Week'!I4:I7)/4,0)</f>
        <v>23</v>
      </c>
      <c r="AK18" s="73">
        <f>AVERAGE('[1]6 Week'!I8)</f>
        <v>20.5</v>
      </c>
      <c r="AL18" s="45">
        <f>ROUND(_xlfn.STDEV.S('[1]6 Week'!I4:I7),0)</f>
        <v>5</v>
      </c>
      <c r="AM18" s="44" t="s">
        <v>32</v>
      </c>
      <c r="AN18" s="59">
        <f>AVERAGE('[1]6 Week'!I4:I7)</f>
        <v>22.75</v>
      </c>
      <c r="AO18" s="71"/>
      <c r="AP18" s="45">
        <f>ROUND(SUM('[1]6 Week'!J2:J5)/4,0)</f>
        <v>16</v>
      </c>
      <c r="AQ18" s="45">
        <f>ROUND(SUM('[1]6 Week'!J3:J6)/4,0)</f>
        <v>15</v>
      </c>
      <c r="AR18" s="45">
        <f>ROUND(SUM('[1]6 Week'!J4:J7)/4,0)</f>
        <v>14</v>
      </c>
      <c r="AS18" s="73">
        <f>AVERAGE('[1]6 Week'!J8)</f>
        <v>15.166666666666666</v>
      </c>
      <c r="AT18" s="45">
        <f>ROUND(_xlfn.STDEV.S('[1]6 Week'!J4:J7),0)</f>
        <v>2</v>
      </c>
      <c r="AU18" s="44" t="s">
        <v>32</v>
      </c>
      <c r="AV18" s="59">
        <f>AVERAGE('[1]6 Week'!J4:J7)</f>
        <v>14.25</v>
      </c>
      <c r="AW18" s="71"/>
      <c r="AX18" s="71"/>
    </row>
    <row r="19" spans="1:50" x14ac:dyDescent="0.3">
      <c r="A19" s="71"/>
      <c r="B19" s="43"/>
      <c r="C19" s="43"/>
      <c r="D19" s="43"/>
      <c r="E19" s="43"/>
      <c r="F19" s="43"/>
      <c r="G19" s="57" t="s">
        <v>31</v>
      </c>
      <c r="H19" s="57">
        <f>ROUND((SUM('[1]6 Week'!E4:E7)/4)-1*Trifecta!F18,0)</f>
        <v>116</v>
      </c>
      <c r="I19" s="71"/>
      <c r="J19" s="43"/>
      <c r="K19" s="43"/>
      <c r="L19" s="43"/>
      <c r="M19" s="43"/>
      <c r="N19" s="43"/>
      <c r="O19" s="57" t="s">
        <v>31</v>
      </c>
      <c r="P19" s="57">
        <f>ROUND((SUM('[1]6 Week'!F4:F7)/4)-1*Trifecta!N18,0)</f>
        <v>53</v>
      </c>
      <c r="Q19" s="71"/>
      <c r="R19" s="43"/>
      <c r="S19" s="43"/>
      <c r="T19" s="43"/>
      <c r="U19" s="43"/>
      <c r="V19" s="43"/>
      <c r="W19" s="57" t="s">
        <v>31</v>
      </c>
      <c r="X19" s="57">
        <f>ROUND((SUM('[1]6 Week'!G4:G7)/4)-1*Trifecta!V18,0)</f>
        <v>0</v>
      </c>
      <c r="Y19" s="71"/>
      <c r="Z19" s="43"/>
      <c r="AA19" s="43"/>
      <c r="AB19" s="43"/>
      <c r="AC19" s="43"/>
      <c r="AD19" s="43"/>
      <c r="AE19" s="57" t="s">
        <v>31</v>
      </c>
      <c r="AF19" s="57">
        <f>ROUND((SUM('[1]6 Week'!H4:H7)/4)-1*Trifecta!AD18,0)</f>
        <v>-1</v>
      </c>
      <c r="AG19" s="71"/>
      <c r="AH19" s="43"/>
      <c r="AI19" s="43"/>
      <c r="AJ19" s="43"/>
      <c r="AK19" s="43"/>
      <c r="AL19" s="43"/>
      <c r="AM19" s="57" t="s">
        <v>31</v>
      </c>
      <c r="AN19" s="57">
        <f>ROUND((SUM('[1]6 Week'!I4:I7)/4)-1*Trifecta!AL18,0)</f>
        <v>18</v>
      </c>
      <c r="AO19" s="71"/>
      <c r="AP19" s="43"/>
      <c r="AQ19" s="43"/>
      <c r="AR19" s="43"/>
      <c r="AS19" s="43"/>
      <c r="AT19" s="43"/>
      <c r="AU19" s="57" t="s">
        <v>31</v>
      </c>
      <c r="AV19" s="57">
        <f>ROUND((SUM('[1]6 Week'!J4:J7)/4)-1*Trifecta!AT18,0)</f>
        <v>12</v>
      </c>
      <c r="AW19" s="71"/>
      <c r="AX19" s="71"/>
    </row>
    <row r="20" spans="1:50" x14ac:dyDescent="0.3">
      <c r="A20" s="71"/>
      <c r="B20" s="43"/>
      <c r="C20" s="43"/>
      <c r="D20" s="43"/>
      <c r="E20" s="43"/>
      <c r="F20" s="43"/>
      <c r="G20" s="72" t="s">
        <v>46</v>
      </c>
      <c r="H20" s="72">
        <f>AA134</f>
        <v>137</v>
      </c>
      <c r="I20" s="71"/>
      <c r="J20" s="43"/>
      <c r="K20" s="43"/>
      <c r="L20" s="43"/>
      <c r="M20" s="43"/>
      <c r="N20" s="43"/>
      <c r="O20" s="72" t="s">
        <v>46</v>
      </c>
      <c r="P20" s="72">
        <f>AB134</f>
        <v>66</v>
      </c>
      <c r="Q20" s="71"/>
      <c r="R20" s="43"/>
      <c r="S20" s="43"/>
      <c r="T20" s="43"/>
      <c r="U20" s="43"/>
      <c r="V20" s="43"/>
      <c r="W20" s="72" t="s">
        <v>46</v>
      </c>
      <c r="X20" s="72">
        <f>AC134</f>
        <v>0</v>
      </c>
      <c r="Y20" s="71"/>
      <c r="Z20" s="43"/>
      <c r="AA20" s="43"/>
      <c r="AB20" s="43"/>
      <c r="AC20" s="43"/>
      <c r="AD20" s="43"/>
      <c r="AE20" s="72" t="s">
        <v>46</v>
      </c>
      <c r="AF20" s="72">
        <f>AD134</f>
        <v>0</v>
      </c>
      <c r="AG20" s="71"/>
      <c r="AH20" s="43"/>
      <c r="AI20" s="43"/>
      <c r="AJ20" s="43"/>
      <c r="AK20" s="43"/>
      <c r="AL20" s="43"/>
      <c r="AM20" s="72" t="s">
        <v>46</v>
      </c>
      <c r="AN20" s="72">
        <f>AE134</f>
        <v>19</v>
      </c>
      <c r="AO20" s="71"/>
      <c r="AP20" s="43"/>
      <c r="AQ20" s="43"/>
      <c r="AR20" s="43"/>
      <c r="AS20" s="43"/>
      <c r="AT20" s="43"/>
      <c r="AU20" s="72" t="s">
        <v>46</v>
      </c>
      <c r="AV20" s="72">
        <f>AF134</f>
        <v>21</v>
      </c>
      <c r="AW20" s="71"/>
      <c r="AX20" s="71"/>
    </row>
    <row r="21" spans="1:50" x14ac:dyDescent="0.3">
      <c r="A21" s="71"/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  <c r="Q21" s="71"/>
      <c r="R21" s="71"/>
      <c r="S21" s="71"/>
      <c r="T21" s="71"/>
      <c r="U21" s="71"/>
      <c r="V21" s="71"/>
      <c r="W21" s="71"/>
      <c r="X21" s="71"/>
      <c r="Y21" s="71"/>
      <c r="Z21" s="71"/>
      <c r="AA21" s="71"/>
      <c r="AB21" s="71"/>
      <c r="AC21" s="71"/>
      <c r="AD21" s="71"/>
      <c r="AE21" s="71"/>
      <c r="AF21" s="71"/>
      <c r="AG21" s="71"/>
      <c r="AH21" s="71"/>
      <c r="AI21" s="71"/>
      <c r="AJ21" s="71"/>
      <c r="AK21" s="71"/>
      <c r="AL21" s="71"/>
      <c r="AM21" s="71"/>
      <c r="AN21" s="71"/>
      <c r="AO21" s="71"/>
      <c r="AP21" s="71"/>
      <c r="AQ21" s="71"/>
      <c r="AR21" s="71"/>
      <c r="AS21" s="71"/>
      <c r="AT21" s="71"/>
      <c r="AU21" s="71"/>
      <c r="AV21" s="71"/>
      <c r="AW21" s="71"/>
      <c r="AX21" s="71"/>
    </row>
    <row r="22" spans="1:50" ht="14.4" customHeight="1" x14ac:dyDescent="0.3">
      <c r="A22" s="89" t="s">
        <v>11</v>
      </c>
      <c r="AX22" s="88" t="s">
        <v>11</v>
      </c>
    </row>
    <row r="23" spans="1:50" x14ac:dyDescent="0.3">
      <c r="A23" s="89"/>
      <c r="AX23" s="88"/>
    </row>
    <row r="24" spans="1:50" x14ac:dyDescent="0.3">
      <c r="A24" s="89"/>
      <c r="AX24" s="88"/>
    </row>
    <row r="25" spans="1:50" x14ac:dyDescent="0.3">
      <c r="A25" s="89"/>
      <c r="AX25" s="88"/>
    </row>
    <row r="26" spans="1:50" x14ac:dyDescent="0.3">
      <c r="A26" s="89"/>
      <c r="AX26" s="88"/>
    </row>
    <row r="27" spans="1:50" x14ac:dyDescent="0.3">
      <c r="A27" s="89"/>
      <c r="AX27" s="88"/>
    </row>
    <row r="28" spans="1:50" x14ac:dyDescent="0.3">
      <c r="A28" s="89"/>
      <c r="AX28" s="88"/>
    </row>
    <row r="29" spans="1:50" x14ac:dyDescent="0.3">
      <c r="A29" s="89"/>
      <c r="AX29" s="88"/>
    </row>
    <row r="30" spans="1:50" x14ac:dyDescent="0.3">
      <c r="A30" s="89"/>
      <c r="AX30" s="88"/>
    </row>
    <row r="31" spans="1:50" x14ac:dyDescent="0.3">
      <c r="A31" s="89"/>
      <c r="AX31" s="88"/>
    </row>
    <row r="32" spans="1:50" x14ac:dyDescent="0.3">
      <c r="A32" s="89"/>
      <c r="AX32" s="88"/>
    </row>
    <row r="33" spans="1:50" x14ac:dyDescent="0.3">
      <c r="A33" s="89"/>
      <c r="AX33" s="88"/>
    </row>
    <row r="34" spans="1:50" x14ac:dyDescent="0.3">
      <c r="A34" s="89"/>
      <c r="AX34" s="88"/>
    </row>
    <row r="35" spans="1:50" x14ac:dyDescent="0.3">
      <c r="A35" s="89"/>
      <c r="AX35" s="88"/>
    </row>
    <row r="36" spans="1:50" x14ac:dyDescent="0.3">
      <c r="A36" s="89"/>
      <c r="AX36" s="88"/>
    </row>
    <row r="37" spans="1:50" x14ac:dyDescent="0.3">
      <c r="A37" s="77"/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77"/>
    </row>
    <row r="38" spans="1:50" x14ac:dyDescent="0.3">
      <c r="A38" s="77"/>
      <c r="B38" s="7" t="s">
        <v>58</v>
      </c>
      <c r="C38" s="78" t="s">
        <v>57</v>
      </c>
      <c r="D38" s="7" t="s">
        <v>56</v>
      </c>
      <c r="E38" s="7" t="s">
        <v>28</v>
      </c>
      <c r="F38" s="7" t="s">
        <v>55</v>
      </c>
      <c r="G38" s="56" t="s">
        <v>33</v>
      </c>
      <c r="H38" s="56">
        <f>ROUND(((SUM('[1]6 Week'!U4:U7))/4)+2*Trifecta!F39,0)</f>
        <v>200</v>
      </c>
      <c r="I38" s="77"/>
      <c r="J38" s="7" t="s">
        <v>58</v>
      </c>
      <c r="K38" s="78" t="s">
        <v>57</v>
      </c>
      <c r="L38" s="7" t="s">
        <v>56</v>
      </c>
      <c r="M38" s="7" t="s">
        <v>28</v>
      </c>
      <c r="N38" s="7" t="s">
        <v>55</v>
      </c>
      <c r="O38" s="56" t="s">
        <v>33</v>
      </c>
      <c r="P38" s="56">
        <f>ROUND(((SUM('[1]6 Week'!V4:V7))/4)+2*Trifecta!N39,0)</f>
        <v>92</v>
      </c>
      <c r="Q38" s="77"/>
      <c r="R38" s="7" t="s">
        <v>58</v>
      </c>
      <c r="S38" s="78" t="s">
        <v>57</v>
      </c>
      <c r="T38" s="7" t="s">
        <v>56</v>
      </c>
      <c r="U38" s="7" t="s">
        <v>28</v>
      </c>
      <c r="V38" s="7" t="s">
        <v>55</v>
      </c>
      <c r="W38" s="56" t="s">
        <v>33</v>
      </c>
      <c r="X38" s="56">
        <f>ROUND(((SUM('[1]6 Week'!W4:W7))/4)+2*Trifecta!V39,0)</f>
        <v>0</v>
      </c>
      <c r="Y38" s="77"/>
      <c r="Z38" s="7" t="s">
        <v>58</v>
      </c>
      <c r="AA38" s="78" t="s">
        <v>57</v>
      </c>
      <c r="AB38" s="7" t="s">
        <v>56</v>
      </c>
      <c r="AC38" s="7" t="s">
        <v>28</v>
      </c>
      <c r="AD38" s="7" t="s">
        <v>55</v>
      </c>
      <c r="AE38" s="56" t="s">
        <v>33</v>
      </c>
      <c r="AF38" s="56">
        <f>ROUND(((SUM('[1]6 Week'!X4:X7))/4)+2*Trifecta!AD39,0)</f>
        <v>0</v>
      </c>
      <c r="AG38" s="77"/>
      <c r="AH38" s="7" t="s">
        <v>58</v>
      </c>
      <c r="AI38" s="78" t="s">
        <v>57</v>
      </c>
      <c r="AJ38" s="7" t="s">
        <v>56</v>
      </c>
      <c r="AK38" s="7" t="s">
        <v>28</v>
      </c>
      <c r="AL38" s="7" t="s">
        <v>55</v>
      </c>
      <c r="AM38" s="56" t="s">
        <v>33</v>
      </c>
      <c r="AN38" s="56">
        <f>ROUND(((SUM('[1]6 Week'!Y4:Y7))/4)+2*Trifecta!AL39,0)</f>
        <v>49</v>
      </c>
      <c r="AO38" s="77"/>
      <c r="AP38" s="7" t="s">
        <v>58</v>
      </c>
      <c r="AQ38" s="78" t="s">
        <v>57</v>
      </c>
      <c r="AR38" s="7" t="s">
        <v>56</v>
      </c>
      <c r="AS38" s="7" t="s">
        <v>28</v>
      </c>
      <c r="AT38" s="7" t="s">
        <v>55</v>
      </c>
      <c r="AU38" s="56" t="s">
        <v>33</v>
      </c>
      <c r="AV38" s="56">
        <f>ROUND(((SUM('[1]6 Week'!Z4:Z7))/4)+2*Trifecta!AT39,0)</f>
        <v>32</v>
      </c>
      <c r="AW38" s="77"/>
      <c r="AX38" s="77"/>
    </row>
    <row r="39" spans="1:50" x14ac:dyDescent="0.3">
      <c r="A39" s="77"/>
      <c r="B39" s="45">
        <f>ROUND(SUM('[1]6 Week'!U2:U5)/4,0)</f>
        <v>158</v>
      </c>
      <c r="C39" s="45">
        <f>ROUND(SUM('[1]6 Week'!U3:U6)/4,0)</f>
        <v>155</v>
      </c>
      <c r="D39" s="45">
        <f>ROUND(SUM('[1]6 Week'!U4:U7)/4,0)</f>
        <v>158</v>
      </c>
      <c r="E39" s="73">
        <f>AVERAGE('[1]6 Week'!U8)</f>
        <v>157.16666666666666</v>
      </c>
      <c r="F39" s="45">
        <f>ROUND(_xlfn.STDEV.S('[1]6 Week'!U4:U7),0)</f>
        <v>21</v>
      </c>
      <c r="G39" s="44" t="s">
        <v>32</v>
      </c>
      <c r="H39" s="59">
        <f>AVERAGE('[1]6 Week'!U4:U7)</f>
        <v>158.25</v>
      </c>
      <c r="I39" s="77"/>
      <c r="J39" s="45">
        <f>ROUND(SUM('[1]6 Week'!V2:V5)/4,0)</f>
        <v>74</v>
      </c>
      <c r="K39" s="45">
        <f>ROUND(SUM('[1]6 Week'!V3:V6)/4,0)</f>
        <v>81</v>
      </c>
      <c r="L39" s="45">
        <f>ROUND(SUM('[1]6 Week'!V4:V7)/4,0)</f>
        <v>78</v>
      </c>
      <c r="M39" s="73">
        <f>AVERAGE('[1]6 Week'!V8)</f>
        <v>74.166666666666671</v>
      </c>
      <c r="N39" s="45">
        <f>ROUND(_xlfn.STDEV.S('[1]6 Week'!V4:V7),0)</f>
        <v>7</v>
      </c>
      <c r="O39" s="44" t="s">
        <v>32</v>
      </c>
      <c r="P39" s="59">
        <f>AVERAGE('[1]6 Week'!V4:V7)</f>
        <v>77.5</v>
      </c>
      <c r="Q39" s="77"/>
      <c r="R39" s="45">
        <f>ROUND(SUM('[1]6 Week'!W2:W5)/4,0)</f>
        <v>9</v>
      </c>
      <c r="S39" s="45">
        <f>ROUND(SUM('[1]6 Week'!W3:W6)/4,0)</f>
        <v>0</v>
      </c>
      <c r="T39" s="45">
        <f>ROUND(SUM('[1]6 Week'!W4:W7)/4,0)</f>
        <v>0</v>
      </c>
      <c r="U39" s="73">
        <f>AVERAGE('[1]6 Week'!W8)</f>
        <v>6.166666666666667</v>
      </c>
      <c r="V39" s="45">
        <f>ROUND(_xlfn.STDEV.S('[1]6 Week'!W4:W7),0)</f>
        <v>0</v>
      </c>
      <c r="W39" s="44" t="s">
        <v>32</v>
      </c>
      <c r="X39" s="59">
        <f>AVERAGE('[1]6 Week'!W4:W7)</f>
        <v>0</v>
      </c>
      <c r="Y39" s="77"/>
      <c r="Z39" s="45">
        <f>ROUND(SUM('[1]6 Week'!X2:X5)/4,0)</f>
        <v>9</v>
      </c>
      <c r="AA39" s="45">
        <f>ROUND(SUM('[1]6 Week'!X3:X6)/4,0)</f>
        <v>0</v>
      </c>
      <c r="AB39" s="45">
        <f>ROUND(SUM('[1]6 Week'!X4:X7)/4,0)</f>
        <v>0</v>
      </c>
      <c r="AC39" s="73">
        <f>AVERAGE('[1]6 Week'!X8)</f>
        <v>6</v>
      </c>
      <c r="AD39" s="45">
        <f>ROUND(_xlfn.STDEV.S('[1]6 Week'!X4:X7),0)</f>
        <v>0</v>
      </c>
      <c r="AE39" s="44" t="s">
        <v>32</v>
      </c>
      <c r="AF39" s="59">
        <f>AVERAGE('[1]6 Week'!X4:X7)</f>
        <v>0</v>
      </c>
      <c r="AG39" s="77"/>
      <c r="AH39" s="45">
        <f>ROUND(SUM('[1]6 Week'!Y2:Y5)/4,0)</f>
        <v>31</v>
      </c>
      <c r="AI39" s="45">
        <f>ROUND(SUM('[1]6 Week'!Y3:Y6)/4,0)</f>
        <v>29</v>
      </c>
      <c r="AJ39" s="45">
        <f>ROUND(SUM('[1]6 Week'!Y4:Y7)/4,0)</f>
        <v>31</v>
      </c>
      <c r="AK39" s="73">
        <f>AVERAGE('[1]6 Week'!Y8)</f>
        <v>32</v>
      </c>
      <c r="AL39" s="45">
        <f>ROUND(_xlfn.STDEV.S('[1]6 Week'!Y4:Y7),0)</f>
        <v>9</v>
      </c>
      <c r="AM39" s="44" t="s">
        <v>32</v>
      </c>
      <c r="AN39" s="59">
        <f>AVERAGE('[1]6 Week'!Y4:Y7)</f>
        <v>30.75</v>
      </c>
      <c r="AO39" s="77"/>
      <c r="AP39" s="45">
        <f>ROUND(SUM('[1]6 Week'!Z2:Z5)/4,0)</f>
        <v>22</v>
      </c>
      <c r="AQ39" s="45">
        <f>ROUND(SUM('[1]6 Week'!Z3:Z6)/4,0)</f>
        <v>23</v>
      </c>
      <c r="AR39" s="45">
        <f>ROUND(SUM('[1]6 Week'!Z4:Z7)/4,0)</f>
        <v>24</v>
      </c>
      <c r="AS39" s="73">
        <f>AVERAGE('[1]6 Week'!Z8)</f>
        <v>22.833333333333332</v>
      </c>
      <c r="AT39" s="45">
        <f>ROUND(_xlfn.STDEV.S('[1]6 Week'!Z4:Z7),0)</f>
        <v>4</v>
      </c>
      <c r="AU39" s="44" t="s">
        <v>32</v>
      </c>
      <c r="AV39" s="59">
        <f>AVERAGE('[1]6 Week'!Z4:Z7)</f>
        <v>24</v>
      </c>
      <c r="AW39" s="77"/>
      <c r="AX39" s="77"/>
    </row>
    <row r="40" spans="1:50" x14ac:dyDescent="0.3">
      <c r="A40" s="77"/>
      <c r="B40" s="43"/>
      <c r="C40" s="43"/>
      <c r="D40" s="43"/>
      <c r="E40" s="43"/>
      <c r="F40" s="43"/>
      <c r="G40" s="57" t="s">
        <v>31</v>
      </c>
      <c r="H40" s="57">
        <f>ROUND((SUM('[1]6 Week'!U4:U7)/4)-1*Trifecta!F39,0)</f>
        <v>137</v>
      </c>
      <c r="I40" s="77"/>
      <c r="J40" s="43"/>
      <c r="K40" s="43"/>
      <c r="L40" s="43"/>
      <c r="M40" s="43"/>
      <c r="N40" s="43"/>
      <c r="O40" s="57" t="s">
        <v>31</v>
      </c>
      <c r="P40" s="57">
        <f>ROUND((SUM('[1]6 Week'!V4:V7)/4)-1*Trifecta!N39,0)</f>
        <v>71</v>
      </c>
      <c r="Q40" s="77"/>
      <c r="R40" s="43"/>
      <c r="S40" s="43"/>
      <c r="T40" s="43"/>
      <c r="U40" s="43"/>
      <c r="V40" s="43"/>
      <c r="W40" s="57" t="s">
        <v>31</v>
      </c>
      <c r="X40" s="57">
        <f>ROUND((SUM('[1]6 Week'!W4:W7)/4)-1*Trifecta!V39,0)</f>
        <v>0</v>
      </c>
      <c r="Y40" s="77"/>
      <c r="Z40" s="43"/>
      <c r="AA40" s="43"/>
      <c r="AB40" s="43"/>
      <c r="AC40" s="43"/>
      <c r="AD40" s="43"/>
      <c r="AE40" s="57" t="s">
        <v>31</v>
      </c>
      <c r="AF40" s="57">
        <f>ROUND((SUM('[1]6 Week'!X4:X7)/4)-1*Trifecta!AD39,0)</f>
        <v>0</v>
      </c>
      <c r="AG40" s="77"/>
      <c r="AH40" s="43"/>
      <c r="AI40" s="43"/>
      <c r="AJ40" s="43"/>
      <c r="AK40" s="43"/>
      <c r="AL40" s="43"/>
      <c r="AM40" s="57" t="s">
        <v>31</v>
      </c>
      <c r="AN40" s="57">
        <f>ROUND((SUM('[1]6 Week'!Y4:Y7)/4)-1*Trifecta!AL39,0)</f>
        <v>22</v>
      </c>
      <c r="AO40" s="77"/>
      <c r="AP40" s="43"/>
      <c r="AQ40" s="43"/>
      <c r="AR40" s="43"/>
      <c r="AS40" s="43"/>
      <c r="AT40" s="43"/>
      <c r="AU40" s="57" t="s">
        <v>31</v>
      </c>
      <c r="AV40" s="57">
        <f>ROUND((SUM('[1]6 Week'!Z4:Z7)/4)-1*Trifecta!AT39,0)</f>
        <v>20</v>
      </c>
      <c r="AW40" s="77"/>
      <c r="AX40" s="77"/>
    </row>
    <row r="41" spans="1:50" x14ac:dyDescent="0.3">
      <c r="A41" s="77"/>
      <c r="B41" s="43"/>
      <c r="C41" s="43"/>
      <c r="D41" s="43"/>
      <c r="E41" s="43"/>
      <c r="F41" s="43"/>
      <c r="G41" s="72" t="s">
        <v>46</v>
      </c>
      <c r="H41" s="72">
        <f>AA135</f>
        <v>179</v>
      </c>
      <c r="I41" s="77"/>
      <c r="J41" s="43"/>
      <c r="K41" s="43"/>
      <c r="L41" s="43"/>
      <c r="M41" s="43"/>
      <c r="N41" s="43"/>
      <c r="O41" s="72" t="s">
        <v>46</v>
      </c>
      <c r="P41" s="72">
        <f>AB135</f>
        <v>86</v>
      </c>
      <c r="Q41" s="77"/>
      <c r="R41" s="43"/>
      <c r="S41" s="43"/>
      <c r="T41" s="43"/>
      <c r="U41" s="43"/>
      <c r="V41" s="43"/>
      <c r="W41" s="72" t="s">
        <v>46</v>
      </c>
      <c r="X41" s="72">
        <f>AC135</f>
        <v>0</v>
      </c>
      <c r="Y41" s="77"/>
      <c r="Z41" s="43"/>
      <c r="AA41" s="43"/>
      <c r="AB41" s="43"/>
      <c r="AC41" s="43"/>
      <c r="AD41" s="43"/>
      <c r="AE41" s="72" t="s">
        <v>46</v>
      </c>
      <c r="AF41" s="72">
        <f>AD135</f>
        <v>0</v>
      </c>
      <c r="AG41" s="77"/>
      <c r="AH41" s="43"/>
      <c r="AI41" s="43"/>
      <c r="AJ41" s="43"/>
      <c r="AK41" s="43"/>
      <c r="AL41" s="43"/>
      <c r="AM41" s="72" t="s">
        <v>46</v>
      </c>
      <c r="AN41" s="72">
        <f>AE135</f>
        <v>28</v>
      </c>
      <c r="AO41" s="77"/>
      <c r="AP41" s="43"/>
      <c r="AQ41" s="43"/>
      <c r="AR41" s="43"/>
      <c r="AS41" s="43"/>
      <c r="AT41" s="43"/>
      <c r="AU41" s="72" t="s">
        <v>46</v>
      </c>
      <c r="AV41" s="72">
        <f>AF135</f>
        <v>37</v>
      </c>
      <c r="AW41" s="77"/>
      <c r="AX41" s="77"/>
    </row>
    <row r="42" spans="1:50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  <c r="AO42" s="77"/>
      <c r="AP42" s="77"/>
      <c r="AQ42" s="77"/>
      <c r="AR42" s="77"/>
      <c r="AS42" s="77"/>
      <c r="AT42" s="77"/>
      <c r="AU42" s="77"/>
      <c r="AV42" s="77"/>
      <c r="AW42" s="77"/>
      <c r="AX42" s="77"/>
    </row>
    <row r="43" spans="1:50" ht="14.4" customHeight="1" x14ac:dyDescent="0.3">
      <c r="A43" s="87" t="s">
        <v>13</v>
      </c>
      <c r="AX43" s="86" t="s">
        <v>13</v>
      </c>
    </row>
    <row r="44" spans="1:50" x14ac:dyDescent="0.3">
      <c r="A44" s="87"/>
      <c r="AX44" s="86"/>
    </row>
    <row r="45" spans="1:50" x14ac:dyDescent="0.3">
      <c r="A45" s="87"/>
      <c r="AX45" s="86"/>
    </row>
    <row r="46" spans="1:50" x14ac:dyDescent="0.3">
      <c r="A46" s="87"/>
      <c r="AX46" s="86"/>
    </row>
    <row r="47" spans="1:50" x14ac:dyDescent="0.3">
      <c r="A47" s="87"/>
      <c r="AX47" s="86"/>
    </row>
    <row r="48" spans="1:50" x14ac:dyDescent="0.3">
      <c r="A48" s="87"/>
      <c r="AX48" s="86"/>
    </row>
    <row r="49" spans="1:50" x14ac:dyDescent="0.3">
      <c r="A49" s="87"/>
      <c r="AX49" s="86"/>
    </row>
    <row r="50" spans="1:50" x14ac:dyDescent="0.3">
      <c r="A50" s="87"/>
      <c r="AX50" s="86"/>
    </row>
    <row r="51" spans="1:50" x14ac:dyDescent="0.3">
      <c r="A51" s="87"/>
      <c r="AX51" s="86"/>
    </row>
    <row r="52" spans="1:50" x14ac:dyDescent="0.3">
      <c r="A52" s="87"/>
      <c r="AX52" s="86"/>
    </row>
    <row r="53" spans="1:50" x14ac:dyDescent="0.3">
      <c r="A53" s="87"/>
      <c r="AX53" s="86"/>
    </row>
    <row r="54" spans="1:50" x14ac:dyDescent="0.3">
      <c r="A54" s="87"/>
      <c r="AX54" s="86"/>
    </row>
    <row r="55" spans="1:50" x14ac:dyDescent="0.3">
      <c r="A55" s="87"/>
      <c r="AX55" s="86"/>
    </row>
    <row r="56" spans="1:50" x14ac:dyDescent="0.3">
      <c r="A56" s="87"/>
      <c r="AX56" s="86"/>
    </row>
    <row r="57" spans="1:50" x14ac:dyDescent="0.3">
      <c r="A57" s="87"/>
      <c r="AX57" s="86"/>
    </row>
    <row r="58" spans="1:50" ht="14.4" customHeight="1" x14ac:dyDescent="0.3">
      <c r="A58" s="71"/>
      <c r="B58" s="71"/>
      <c r="C58" s="71"/>
      <c r="D58" s="71"/>
      <c r="E58" s="71"/>
      <c r="F58" s="71"/>
      <c r="G58" s="71"/>
      <c r="H58" s="71"/>
      <c r="I58" s="71"/>
      <c r="J58" s="71"/>
      <c r="K58" s="71"/>
      <c r="L58" s="71"/>
      <c r="M58" s="71"/>
      <c r="N58" s="71"/>
      <c r="O58" s="71"/>
      <c r="P58" s="71"/>
      <c r="Q58" s="7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71"/>
      <c r="AI58" s="71"/>
      <c r="AJ58" s="71"/>
      <c r="AK58" s="71"/>
      <c r="AL58" s="71"/>
      <c r="AM58" s="71"/>
      <c r="AN58" s="71"/>
      <c r="AO58" s="71"/>
      <c r="AP58" s="71"/>
      <c r="AQ58" s="71"/>
      <c r="AR58" s="71"/>
      <c r="AS58" s="71"/>
      <c r="AT58" s="71"/>
      <c r="AU58" s="71"/>
      <c r="AV58" s="71"/>
      <c r="AW58" s="71"/>
      <c r="AX58" s="71"/>
    </row>
    <row r="59" spans="1:50" x14ac:dyDescent="0.3">
      <c r="A59" s="71"/>
      <c r="B59" s="3" t="s">
        <v>58</v>
      </c>
      <c r="C59" s="74" t="s">
        <v>57</v>
      </c>
      <c r="D59" s="3" t="s">
        <v>56</v>
      </c>
      <c r="E59" s="3" t="s">
        <v>28</v>
      </c>
      <c r="F59" s="3" t="s">
        <v>55</v>
      </c>
      <c r="G59" s="56" t="s">
        <v>33</v>
      </c>
      <c r="H59" s="56">
        <f>ROUND(((SUM('[1]6 Week'!AK4:AK7))/4)+2*Trifecta!F60,0)</f>
        <v>104</v>
      </c>
      <c r="I59" s="71"/>
      <c r="J59" s="3" t="s">
        <v>58</v>
      </c>
      <c r="K59" s="74" t="s">
        <v>57</v>
      </c>
      <c r="L59" s="3" t="s">
        <v>56</v>
      </c>
      <c r="M59" s="3" t="s">
        <v>28</v>
      </c>
      <c r="N59" s="3" t="s">
        <v>55</v>
      </c>
      <c r="O59" s="56" t="s">
        <v>33</v>
      </c>
      <c r="P59" s="56">
        <f>ROUND(((SUM('[1]6 Week'!AL4:AL7))/4)+2*Trifecta!N60,0)</f>
        <v>65</v>
      </c>
      <c r="Q59" s="71"/>
      <c r="R59" s="3" t="s">
        <v>58</v>
      </c>
      <c r="S59" s="74" t="s">
        <v>57</v>
      </c>
      <c r="T59" s="3" t="s">
        <v>56</v>
      </c>
      <c r="U59" s="3" t="s">
        <v>28</v>
      </c>
      <c r="V59" s="3" t="s">
        <v>55</v>
      </c>
      <c r="W59" s="56" t="s">
        <v>33</v>
      </c>
      <c r="X59" s="56">
        <f>ROUND(((SUM('[1]6 Week'!AM4:AM7))/4)+2*Trifecta!V60,0)</f>
        <v>0</v>
      </c>
      <c r="Y59" s="71"/>
      <c r="Z59" s="3" t="s">
        <v>58</v>
      </c>
      <c r="AA59" s="74" t="s">
        <v>57</v>
      </c>
      <c r="AB59" s="3" t="s">
        <v>56</v>
      </c>
      <c r="AC59" s="3" t="s">
        <v>28</v>
      </c>
      <c r="AD59" s="3" t="s">
        <v>55</v>
      </c>
      <c r="AE59" s="56" t="s">
        <v>33</v>
      </c>
      <c r="AF59" s="56">
        <f>ROUND(((SUM('[1]6 Week'!AN4:AN7))/4)+2*Trifecta!AD60,0)</f>
        <v>0</v>
      </c>
      <c r="AG59" s="71"/>
      <c r="AH59" s="3" t="s">
        <v>58</v>
      </c>
      <c r="AI59" s="74" t="s">
        <v>57</v>
      </c>
      <c r="AJ59" s="3" t="s">
        <v>56</v>
      </c>
      <c r="AK59" s="3" t="s">
        <v>28</v>
      </c>
      <c r="AL59" s="3" t="s">
        <v>55</v>
      </c>
      <c r="AM59" s="56" t="s">
        <v>33</v>
      </c>
      <c r="AN59" s="56">
        <f>ROUND(((SUM('[1]6 Week'!AO4:AO7))/4)+2*Trifecta!AL60,0)</f>
        <v>32</v>
      </c>
      <c r="AO59" s="71"/>
      <c r="AP59" s="3" t="s">
        <v>58</v>
      </c>
      <c r="AQ59" s="74" t="s">
        <v>57</v>
      </c>
      <c r="AR59" s="3" t="s">
        <v>56</v>
      </c>
      <c r="AS59" s="3" t="s">
        <v>28</v>
      </c>
      <c r="AT59" s="3" t="s">
        <v>55</v>
      </c>
      <c r="AU59" s="56" t="s">
        <v>33</v>
      </c>
      <c r="AV59" s="56">
        <f>ROUND(((SUM('[1]6 Week'!AP4:AP7))/4)+2*Trifecta!AT60,0)</f>
        <v>23</v>
      </c>
      <c r="AW59" s="71"/>
      <c r="AX59" s="71"/>
    </row>
    <row r="60" spans="1:50" x14ac:dyDescent="0.3">
      <c r="A60" s="71"/>
      <c r="B60" s="45">
        <f>ROUND(SUM('[1]6 Week'!AK2:AK5)/4,0)</f>
        <v>84</v>
      </c>
      <c r="C60" s="45">
        <f>ROUND(SUM('[1]6 Week'!AK3:AK6)/4,0)</f>
        <v>84</v>
      </c>
      <c r="D60" s="45">
        <f>ROUND(SUM('[1]6 Week'!AK4:AK7)/4,0)</f>
        <v>86</v>
      </c>
      <c r="E60" s="73">
        <f>AVERAGE('[1]6 Week'!AK8)</f>
        <v>84.166666666666671</v>
      </c>
      <c r="F60" s="45">
        <f>ROUND(_xlfn.STDEV.S('[1]6 Week'!AK4:AK7),0)</f>
        <v>9</v>
      </c>
      <c r="G60" s="44" t="s">
        <v>32</v>
      </c>
      <c r="H60" s="59">
        <f>AVERAGE('[1]6 Week'!AK4:AK7)</f>
        <v>86.25</v>
      </c>
      <c r="I60" s="71"/>
      <c r="J60" s="45">
        <f>ROUND(SUM('[1]6 Week'!AL2:AL5)/4,0)</f>
        <v>49</v>
      </c>
      <c r="K60" s="45">
        <f>ROUND(SUM('[1]6 Week'!AL3:AL6)/4,0)</f>
        <v>51</v>
      </c>
      <c r="L60" s="45">
        <f>ROUND(SUM('[1]6 Week'!AL4:AL7)/4,0)</f>
        <v>47</v>
      </c>
      <c r="M60" s="73">
        <f>AVERAGE('[1]6 Week'!AL8)</f>
        <v>47.333333333333336</v>
      </c>
      <c r="N60" s="45">
        <f>ROUND(_xlfn.STDEV.S('[1]6 Week'!AL4:AL7),0)</f>
        <v>9</v>
      </c>
      <c r="O60" s="44" t="s">
        <v>32</v>
      </c>
      <c r="P60" s="59">
        <f>AVERAGE('[1]6 Week'!AL4:AL7)</f>
        <v>47</v>
      </c>
      <c r="Q60" s="71"/>
      <c r="R60" s="45">
        <f>ROUND(SUM('[1]6 Week'!AM2:AM5)/4,0)</f>
        <v>0</v>
      </c>
      <c r="S60" s="45">
        <f>ROUND(SUM('[1]6 Week'!AM3:AM6)/4,0)</f>
        <v>0</v>
      </c>
      <c r="T60" s="45">
        <f>ROUND(SUM('[1]6 Week'!AM4:AM7)/4,0)</f>
        <v>0</v>
      </c>
      <c r="U60" s="73">
        <f>AVERAGE('[1]6 Week'!AM8)</f>
        <v>0</v>
      </c>
      <c r="V60" s="45">
        <f>ROUND(_xlfn.STDEV.S('[1]6 Week'!AM4:AM7),0)</f>
        <v>0</v>
      </c>
      <c r="W60" s="44" t="s">
        <v>32</v>
      </c>
      <c r="X60" s="59">
        <f>AVERAGE('[1]6 Week'!AM4:AM7)</f>
        <v>0</v>
      </c>
      <c r="Y60" s="71"/>
      <c r="Z60" s="45">
        <f>ROUND(SUM('[1]6 Week'!AN2:AN5)/4,0)</f>
        <v>1</v>
      </c>
      <c r="AA60" s="45">
        <f>ROUND(SUM('[1]6 Week'!AN3:AN6)/4,0)</f>
        <v>0</v>
      </c>
      <c r="AB60" s="45">
        <f>ROUND(SUM('[1]6 Week'!AN4:AN7)/4,0)</f>
        <v>0</v>
      </c>
      <c r="AC60" s="73">
        <f>AVERAGE('[1]6 Week'!AN8)</f>
        <v>0.33333333333333331</v>
      </c>
      <c r="AD60" s="45">
        <f>ROUND(_xlfn.STDEV.S('[1]6 Week'!AN4:AN7),0)</f>
        <v>0</v>
      </c>
      <c r="AE60" s="44" t="s">
        <v>32</v>
      </c>
      <c r="AF60" s="59">
        <f>AVERAGE('[1]6 Week'!AN4:AN7)</f>
        <v>0</v>
      </c>
      <c r="AG60" s="71"/>
      <c r="AH60" s="45">
        <f>ROUND(SUM('[1]6 Week'!AO2:AO5)/4,0)</f>
        <v>17</v>
      </c>
      <c r="AI60" s="45">
        <f>ROUND(SUM('[1]6 Week'!AO3:AO6)/4,0)</f>
        <v>19</v>
      </c>
      <c r="AJ60" s="45">
        <f>ROUND(SUM('[1]6 Week'!AO4:AO7)/4,0)</f>
        <v>20</v>
      </c>
      <c r="AK60" s="73">
        <f>AVERAGE('[1]6 Week'!AO8)</f>
        <v>19</v>
      </c>
      <c r="AL60" s="45">
        <f>ROUND(_xlfn.STDEV.S('[1]6 Week'!AO4:AO7),0)</f>
        <v>6</v>
      </c>
      <c r="AM60" s="44" t="s">
        <v>32</v>
      </c>
      <c r="AN60" s="59">
        <f>AVERAGE('[1]6 Week'!AO4:AO7)</f>
        <v>20.25</v>
      </c>
      <c r="AO60" s="71"/>
      <c r="AP60" s="45">
        <f>ROUND(SUM('[1]6 Week'!AP2:AP5)/4,0)</f>
        <v>13</v>
      </c>
      <c r="AQ60" s="45">
        <f>ROUND(SUM('[1]6 Week'!AP3:AP6)/4,0)</f>
        <v>14</v>
      </c>
      <c r="AR60" s="45">
        <f>ROUND(SUM('[1]6 Week'!AP4:AP7)/4,0)</f>
        <v>13</v>
      </c>
      <c r="AS60" s="73">
        <f>AVERAGE('[1]6 Week'!AP8)</f>
        <v>13</v>
      </c>
      <c r="AT60" s="45">
        <f>ROUND(_xlfn.STDEV.S('[1]6 Week'!AP4:AP7),0)</f>
        <v>5</v>
      </c>
      <c r="AU60" s="44" t="s">
        <v>32</v>
      </c>
      <c r="AV60" s="59">
        <f>AVERAGE('[1]6 Week'!AP4:AP7)</f>
        <v>13.25</v>
      </c>
      <c r="AW60" s="71"/>
      <c r="AX60" s="71"/>
    </row>
    <row r="61" spans="1:50" x14ac:dyDescent="0.3">
      <c r="A61" s="71"/>
      <c r="B61" s="43"/>
      <c r="C61" s="43"/>
      <c r="D61" s="43"/>
      <c r="E61" s="43"/>
      <c r="F61" s="43"/>
      <c r="G61" s="57" t="s">
        <v>31</v>
      </c>
      <c r="H61" s="57">
        <f>ROUND((SUM('[1]6 Week'!AK4:AK7)/4)-1*Trifecta!F60,0)</f>
        <v>77</v>
      </c>
      <c r="I61" s="71"/>
      <c r="J61" s="43"/>
      <c r="K61" s="43"/>
      <c r="L61" s="43"/>
      <c r="M61" s="43"/>
      <c r="N61" s="43"/>
      <c r="O61" s="57" t="s">
        <v>31</v>
      </c>
      <c r="P61" s="57">
        <f>ROUND((SUM('[1]6 Week'!AL4:AL7)/4)-1*Trifecta!N60,0)</f>
        <v>38</v>
      </c>
      <c r="Q61" s="71"/>
      <c r="R61" s="43"/>
      <c r="S61" s="43"/>
      <c r="T61" s="43"/>
      <c r="U61" s="43"/>
      <c r="V61" s="43"/>
      <c r="W61" s="57" t="s">
        <v>31</v>
      </c>
      <c r="X61" s="57">
        <f>ROUND((SUM('[1]6 Week'!AM4:AM7)/4)-1*Trifecta!V60,0)</f>
        <v>0</v>
      </c>
      <c r="Y61" s="71"/>
      <c r="Z61" s="43"/>
      <c r="AA61" s="43"/>
      <c r="AB61" s="43"/>
      <c r="AC61" s="43"/>
      <c r="AD61" s="43"/>
      <c r="AE61" s="57" t="s">
        <v>31</v>
      </c>
      <c r="AF61" s="57">
        <f>ROUND((SUM('[1]6 Week'!AN4:AN7)/4)-1*Trifecta!AD60,0)</f>
        <v>0</v>
      </c>
      <c r="AG61" s="71"/>
      <c r="AH61" s="43"/>
      <c r="AI61" s="43"/>
      <c r="AJ61" s="43"/>
      <c r="AK61" s="43"/>
      <c r="AL61" s="43"/>
      <c r="AM61" s="57" t="s">
        <v>31</v>
      </c>
      <c r="AN61" s="57">
        <f>ROUND((SUM('[1]6 Week'!AO4:AO7)/4)-1*Trifecta!AL60,0)</f>
        <v>14</v>
      </c>
      <c r="AO61" s="71"/>
      <c r="AP61" s="43"/>
      <c r="AQ61" s="43"/>
      <c r="AR61" s="43"/>
      <c r="AS61" s="43"/>
      <c r="AT61" s="43"/>
      <c r="AU61" s="57" t="s">
        <v>31</v>
      </c>
      <c r="AV61" s="57">
        <f>ROUND(((SUM('[1]6 Week'!AP4:AP7))/4)-1*Trifecta!AT60,0)</f>
        <v>8</v>
      </c>
      <c r="AW61" s="71"/>
      <c r="AX61" s="71"/>
    </row>
    <row r="62" spans="1:50" x14ac:dyDescent="0.3">
      <c r="A62" s="71"/>
      <c r="B62" s="43"/>
      <c r="C62" s="43"/>
      <c r="D62" s="43"/>
      <c r="E62" s="43"/>
      <c r="F62" s="43"/>
      <c r="G62" s="72" t="s">
        <v>46</v>
      </c>
      <c r="H62" s="72">
        <f>AA136</f>
        <v>91</v>
      </c>
      <c r="I62" s="71"/>
      <c r="J62" s="43"/>
      <c r="K62" s="43"/>
      <c r="L62" s="43"/>
      <c r="M62" s="43"/>
      <c r="N62" s="43"/>
      <c r="O62" s="72" t="s">
        <v>46</v>
      </c>
      <c r="P62" s="72">
        <f>AB136</f>
        <v>60</v>
      </c>
      <c r="Q62" s="71"/>
      <c r="R62" s="43"/>
      <c r="S62" s="43"/>
      <c r="T62" s="43"/>
      <c r="U62" s="43"/>
      <c r="V62" s="43"/>
      <c r="W62" s="72" t="s">
        <v>46</v>
      </c>
      <c r="X62" s="72">
        <f>AC136</f>
        <v>0</v>
      </c>
      <c r="Y62" s="71"/>
      <c r="Z62" s="43"/>
      <c r="AA62" s="43"/>
      <c r="AB62" s="43"/>
      <c r="AC62" s="43"/>
      <c r="AD62" s="43"/>
      <c r="AE62" s="72" t="s">
        <v>46</v>
      </c>
      <c r="AF62" s="72">
        <f>AD136</f>
        <v>1</v>
      </c>
      <c r="AG62" s="71"/>
      <c r="AH62" s="43"/>
      <c r="AI62" s="43"/>
      <c r="AJ62" s="43"/>
      <c r="AK62" s="43"/>
      <c r="AL62" s="43"/>
      <c r="AM62" s="72" t="s">
        <v>46</v>
      </c>
      <c r="AN62" s="72">
        <f>AE136</f>
        <v>19</v>
      </c>
      <c r="AO62" s="71"/>
      <c r="AP62" s="43"/>
      <c r="AQ62" s="43"/>
      <c r="AR62" s="43"/>
      <c r="AS62" s="43"/>
      <c r="AT62" s="43"/>
      <c r="AU62" s="72" t="s">
        <v>46</v>
      </c>
      <c r="AV62" s="72">
        <f>AF136</f>
        <v>6</v>
      </c>
      <c r="AW62" s="71"/>
      <c r="AX62" s="71"/>
    </row>
    <row r="63" spans="1:50" x14ac:dyDescent="0.3">
      <c r="A63" s="71"/>
      <c r="B63" s="71"/>
      <c r="C63" s="71"/>
      <c r="D63" s="71"/>
      <c r="E63" s="71"/>
      <c r="F63" s="71"/>
      <c r="G63" s="71"/>
      <c r="H63" s="71"/>
      <c r="I63" s="71"/>
      <c r="J63" s="71"/>
      <c r="K63" s="71"/>
      <c r="L63" s="71"/>
      <c r="M63" s="71"/>
      <c r="N63" s="71"/>
      <c r="O63" s="71"/>
      <c r="P63" s="71"/>
      <c r="Q63" s="71"/>
      <c r="R63" s="71"/>
      <c r="S63" s="71"/>
      <c r="T63" s="71"/>
      <c r="U63" s="71"/>
      <c r="V63" s="71"/>
      <c r="W63" s="71"/>
      <c r="X63" s="71"/>
      <c r="Y63" s="71"/>
      <c r="Z63" s="71"/>
      <c r="AA63" s="71"/>
      <c r="AB63" s="71"/>
      <c r="AC63" s="71"/>
      <c r="AD63" s="71"/>
      <c r="AE63" s="71"/>
      <c r="AF63" s="71"/>
      <c r="AG63" s="71"/>
      <c r="AH63" s="71"/>
      <c r="AI63" s="71"/>
      <c r="AJ63" s="71"/>
      <c r="AK63" s="71"/>
      <c r="AL63" s="71"/>
      <c r="AM63" s="71"/>
      <c r="AN63" s="71"/>
      <c r="AO63" s="71"/>
      <c r="AP63" s="71"/>
      <c r="AQ63" s="71"/>
      <c r="AR63" s="71"/>
      <c r="AS63" s="71"/>
      <c r="AT63" s="71"/>
      <c r="AU63" s="71"/>
      <c r="AV63" s="71"/>
      <c r="AW63" s="71"/>
      <c r="AX63" s="71"/>
    </row>
    <row r="64" spans="1:50" x14ac:dyDescent="0.3">
      <c r="A64" s="85" t="s">
        <v>15</v>
      </c>
      <c r="Q64" s="71"/>
      <c r="AX64" s="84" t="s">
        <v>15</v>
      </c>
    </row>
    <row r="65" spans="1:50" x14ac:dyDescent="0.3">
      <c r="A65" s="85"/>
      <c r="AX65" s="84"/>
    </row>
    <row r="66" spans="1:50" x14ac:dyDescent="0.3">
      <c r="A66" s="85"/>
      <c r="AX66" s="84"/>
    </row>
    <row r="67" spans="1:50" x14ac:dyDescent="0.3">
      <c r="A67" s="85"/>
      <c r="AX67" s="84"/>
    </row>
    <row r="68" spans="1:50" x14ac:dyDescent="0.3">
      <c r="A68" s="85"/>
      <c r="AX68" s="84"/>
    </row>
    <row r="69" spans="1:50" x14ac:dyDescent="0.3">
      <c r="A69" s="85"/>
      <c r="AX69" s="84"/>
    </row>
    <row r="70" spans="1:50" x14ac:dyDescent="0.3">
      <c r="A70" s="85"/>
      <c r="AX70" s="84"/>
    </row>
    <row r="71" spans="1:50" x14ac:dyDescent="0.3">
      <c r="A71" s="85"/>
      <c r="AX71" s="84"/>
    </row>
    <row r="72" spans="1:50" x14ac:dyDescent="0.3">
      <c r="A72" s="85"/>
      <c r="AX72" s="84"/>
    </row>
    <row r="73" spans="1:50" x14ac:dyDescent="0.3">
      <c r="A73" s="85"/>
      <c r="AX73" s="84"/>
    </row>
    <row r="74" spans="1:50" x14ac:dyDescent="0.3">
      <c r="A74" s="85"/>
      <c r="AX74" s="84"/>
    </row>
    <row r="75" spans="1:50" x14ac:dyDescent="0.3">
      <c r="A75" s="85"/>
      <c r="AX75" s="84"/>
    </row>
    <row r="76" spans="1:50" x14ac:dyDescent="0.3">
      <c r="A76" s="85"/>
      <c r="AX76" s="84"/>
    </row>
    <row r="77" spans="1:50" x14ac:dyDescent="0.3">
      <c r="A77" s="85"/>
      <c r="AX77" s="84"/>
    </row>
    <row r="78" spans="1:50" x14ac:dyDescent="0.3">
      <c r="A78" s="85"/>
      <c r="AX78" s="84"/>
    </row>
    <row r="79" spans="1:50" x14ac:dyDescent="0.3">
      <c r="A79" s="83"/>
      <c r="B79" s="71"/>
      <c r="C79" s="71"/>
      <c r="D79" s="71"/>
      <c r="E79" s="71"/>
      <c r="F79" s="71"/>
      <c r="G79" s="71"/>
      <c r="H79" s="71"/>
      <c r="I79" s="71"/>
      <c r="J79" s="71"/>
      <c r="K79" s="71"/>
      <c r="L79" s="71"/>
      <c r="M79" s="71"/>
      <c r="N79" s="71"/>
      <c r="O79" s="71"/>
      <c r="P79" s="71"/>
      <c r="Q79" s="71"/>
      <c r="R79" s="71"/>
      <c r="S79" s="71"/>
      <c r="T79" s="71"/>
      <c r="U79" s="71"/>
      <c r="V79" s="71"/>
      <c r="W79" s="71"/>
      <c r="X79" s="71"/>
      <c r="Y79" s="71"/>
      <c r="Z79" s="71"/>
      <c r="AA79" s="71"/>
      <c r="AB79" s="71"/>
      <c r="AC79" s="71"/>
      <c r="AD79" s="71"/>
      <c r="AE79" s="71"/>
      <c r="AF79" s="71"/>
      <c r="AG79" s="71"/>
      <c r="AH79" s="71"/>
      <c r="AI79" s="71"/>
      <c r="AJ79" s="71"/>
      <c r="AK79" s="71"/>
      <c r="AL79" s="71"/>
      <c r="AM79" s="71"/>
      <c r="AN79" s="71"/>
      <c r="AO79" s="71"/>
      <c r="AP79" s="71"/>
      <c r="AQ79" s="71"/>
      <c r="AR79" s="71"/>
      <c r="AS79" s="71"/>
      <c r="AT79" s="71"/>
      <c r="AU79" s="71"/>
      <c r="AV79" s="71"/>
      <c r="AW79" s="71"/>
      <c r="AX79" s="71"/>
    </row>
    <row r="80" spans="1:50" x14ac:dyDescent="0.3">
      <c r="A80" s="71"/>
      <c r="B80" s="3" t="s">
        <v>58</v>
      </c>
      <c r="C80" s="74" t="s">
        <v>57</v>
      </c>
      <c r="D80" s="3" t="s">
        <v>56</v>
      </c>
      <c r="E80" s="3" t="s">
        <v>28</v>
      </c>
      <c r="F80" s="3" t="s">
        <v>55</v>
      </c>
      <c r="G80" s="56" t="s">
        <v>33</v>
      </c>
      <c r="H80" s="56">
        <f>ROUND(((SUM('[1]6 Week'!BA4:BA7))/4)+2*Trifecta!F81,0)</f>
        <v>203</v>
      </c>
      <c r="I80" s="71"/>
      <c r="J80" s="3" t="s">
        <v>58</v>
      </c>
      <c r="K80" s="74" t="s">
        <v>57</v>
      </c>
      <c r="L80" s="3" t="s">
        <v>56</v>
      </c>
      <c r="M80" s="3" t="s">
        <v>28</v>
      </c>
      <c r="N80" s="3" t="s">
        <v>55</v>
      </c>
      <c r="O80" s="56" t="s">
        <v>33</v>
      </c>
      <c r="P80" s="56">
        <f>ROUND(((SUM('[1]6 Week'!BB4:BB7))/4)+2*Trifecta!N81,0)</f>
        <v>171</v>
      </c>
      <c r="Q80" s="71"/>
      <c r="R80" s="3" t="s">
        <v>58</v>
      </c>
      <c r="S80" s="74" t="s">
        <v>57</v>
      </c>
      <c r="T80" s="3" t="s">
        <v>56</v>
      </c>
      <c r="U80" s="3" t="s">
        <v>28</v>
      </c>
      <c r="V80" s="3" t="s">
        <v>55</v>
      </c>
      <c r="W80" s="56" t="s">
        <v>33</v>
      </c>
      <c r="X80" s="56">
        <f>ROUND(((SUM('[1]6 Week'!BC4:BC7))/4)+2*Trifecta!V81,0)</f>
        <v>0</v>
      </c>
      <c r="Y80" s="71"/>
      <c r="Z80" s="3" t="s">
        <v>58</v>
      </c>
      <c r="AA80" s="74" t="s">
        <v>57</v>
      </c>
      <c r="AB80" s="3" t="s">
        <v>56</v>
      </c>
      <c r="AC80" s="3" t="s">
        <v>28</v>
      </c>
      <c r="AD80" s="3" t="s">
        <v>55</v>
      </c>
      <c r="AE80" s="56" t="s">
        <v>33</v>
      </c>
      <c r="AF80" s="56">
        <f>ROUND(((SUM('[1]6 Week'!BD4:BD7))/4)+2*Trifecta!AD81,0)</f>
        <v>0</v>
      </c>
      <c r="AG80" s="71"/>
      <c r="AH80" s="3" t="s">
        <v>58</v>
      </c>
      <c r="AI80" s="74" t="s">
        <v>57</v>
      </c>
      <c r="AJ80" s="3" t="s">
        <v>56</v>
      </c>
      <c r="AK80" s="3" t="s">
        <v>28</v>
      </c>
      <c r="AL80" s="3" t="s">
        <v>55</v>
      </c>
      <c r="AM80" s="56" t="s">
        <v>33</v>
      </c>
      <c r="AN80" s="56">
        <f>ROUND(((SUM('[1]6 Week'!BE4:BE7))/4)+2*Trifecta!AL81,0)</f>
        <v>64</v>
      </c>
      <c r="AO80" s="71"/>
      <c r="AP80" s="3" t="s">
        <v>58</v>
      </c>
      <c r="AQ80" s="74" t="s">
        <v>57</v>
      </c>
      <c r="AR80" s="3" t="s">
        <v>56</v>
      </c>
      <c r="AS80" s="3" t="s">
        <v>28</v>
      </c>
      <c r="AT80" s="3" t="s">
        <v>55</v>
      </c>
      <c r="AU80" s="56" t="s">
        <v>33</v>
      </c>
      <c r="AV80" s="56">
        <f>ROUND(((SUM('[1]6 Week'!BF4:BF7))/4)+2*Trifecta!AT81,0)</f>
        <v>43</v>
      </c>
      <c r="AW80" s="71"/>
      <c r="AX80" s="71"/>
    </row>
    <row r="81" spans="1:50" x14ac:dyDescent="0.3">
      <c r="A81" s="71"/>
      <c r="B81" s="45">
        <f>ROUND(SUM('[1]6 Week'!BA2:BA5)/4,0)</f>
        <v>180</v>
      </c>
      <c r="C81" s="45">
        <f>ROUND(SUM('[1]6 Week'!BA3:BA6)/4,0)</f>
        <v>170</v>
      </c>
      <c r="D81" s="45">
        <f>ROUND(SUM('[1]6 Week'!BA4:BA7)/4,0)</f>
        <v>171</v>
      </c>
      <c r="E81" s="73">
        <f>AVERAGE('[1]6 Week'!BA8)</f>
        <v>178</v>
      </c>
      <c r="F81" s="45">
        <f>ROUND(_xlfn.STDEV.S('[1]6 Week'!BA4:BA7),0)</f>
        <v>16</v>
      </c>
      <c r="G81" s="44" t="s">
        <v>32</v>
      </c>
      <c r="H81" s="59">
        <f>AVERAGE('[1]6 Week'!BA4:BA7)</f>
        <v>170.5</v>
      </c>
      <c r="I81" s="71"/>
      <c r="J81" s="45">
        <f>ROUND(SUM('[1]6 Week'!BB2:BB5)/4,0)</f>
        <v>138</v>
      </c>
      <c r="K81" s="45">
        <f>ROUND(SUM('[1]6 Week'!BB3:BB6)/4,0)</f>
        <v>142</v>
      </c>
      <c r="L81" s="45">
        <f>ROUND(SUM('[1]6 Week'!BB4:BB7)/4,0)</f>
        <v>135</v>
      </c>
      <c r="M81" s="73">
        <f>AVERAGE('[1]6 Week'!BB8)</f>
        <v>134.66666666666666</v>
      </c>
      <c r="N81" s="45">
        <f>ROUND(_xlfn.STDEV.S('[1]6 Week'!BB4:BB7),0)</f>
        <v>18</v>
      </c>
      <c r="O81" s="44" t="s">
        <v>32</v>
      </c>
      <c r="P81" s="59">
        <f>AVERAGE('[1]6 Week'!BB4:BB7)</f>
        <v>135</v>
      </c>
      <c r="Q81" s="71"/>
      <c r="R81" s="45">
        <f>ROUND(SUM('[1]6 Week'!BC2:BC5)/4,0)</f>
        <v>0</v>
      </c>
      <c r="S81" s="45">
        <f>ROUND(SUM('[1]6 Week'!BC3:BC6)/4,0)</f>
        <v>0</v>
      </c>
      <c r="T81" s="45">
        <f>ROUND(SUM('[1]6 Week'!BC4:BC7)/4,0)</f>
        <v>0</v>
      </c>
      <c r="U81" s="73">
        <f>AVERAGE('[1]6 Week'!BC8)</f>
        <v>0</v>
      </c>
      <c r="V81" s="45">
        <f>ROUND(_xlfn.STDEV.S('[1]6 Week'!BC4:BC7),0)</f>
        <v>0</v>
      </c>
      <c r="W81" s="44" t="s">
        <v>32</v>
      </c>
      <c r="X81" s="59">
        <f>AVERAGE('[1]6 Week'!BC4:BC7)</f>
        <v>0</v>
      </c>
      <c r="Y81" s="71"/>
      <c r="Z81" s="45">
        <f>ROUND(SUM('[1]6 Week'!BD2:BD5)/4,0)</f>
        <v>0</v>
      </c>
      <c r="AA81" s="45">
        <f>ROUND(SUM('[1]6 Week'!BD3:BD6)/4,0)</f>
        <v>0</v>
      </c>
      <c r="AB81" s="45">
        <f>ROUND(SUM('[1]6 Week'!BD4:BD7)/4,0)</f>
        <v>0</v>
      </c>
      <c r="AC81" s="73">
        <f>AVERAGE('[1]6 Week'!BD8)</f>
        <v>0</v>
      </c>
      <c r="AD81" s="45">
        <f>ROUND(_xlfn.STDEV.S('[1]6 Week'!BD4:BD7),0)</f>
        <v>0</v>
      </c>
      <c r="AE81" s="44" t="s">
        <v>32</v>
      </c>
      <c r="AF81" s="59">
        <f>AVERAGE('[1]6 Week'!BD4:BD7)</f>
        <v>0</v>
      </c>
      <c r="AG81" s="71"/>
      <c r="AH81" s="45">
        <f>ROUND(SUM('[1]6 Week'!BE2:BE5)/4,0)</f>
        <v>34</v>
      </c>
      <c r="AI81" s="45">
        <f>ROUND(SUM('[1]6 Week'!BE3:BE6)/4,0)</f>
        <v>38</v>
      </c>
      <c r="AJ81" s="45">
        <f>ROUND(SUM('[1]6 Week'!BE4:BE7)/4,0)</f>
        <v>36</v>
      </c>
      <c r="AK81" s="73">
        <f>AVERAGE('[1]6 Week'!BE8)</f>
        <v>35.666666666666664</v>
      </c>
      <c r="AL81" s="45">
        <f>ROUND(_xlfn.STDEV.S('[1]6 Week'!BE4:BE7),0)</f>
        <v>14</v>
      </c>
      <c r="AM81" s="44" t="s">
        <v>32</v>
      </c>
      <c r="AN81" s="59">
        <f>AVERAGE('[1]6 Week'!BE4:BE7)</f>
        <v>35.5</v>
      </c>
      <c r="AO81" s="71"/>
      <c r="AP81" s="45">
        <f>ROUND(SUM('[1]6 Week'!BF2:BF5)/4,0)</f>
        <v>31</v>
      </c>
      <c r="AQ81" s="45">
        <f>ROUND(SUM('[1]6 Week'!BF3:BF6)/4,0)</f>
        <v>33</v>
      </c>
      <c r="AR81" s="45">
        <f>ROUND(SUM('[1]6 Week'!BF4:BF7)/4,0)</f>
        <v>33</v>
      </c>
      <c r="AS81" s="73">
        <f>AVERAGE('[1]6 Week'!BF8)</f>
        <v>30.166666666666668</v>
      </c>
      <c r="AT81" s="45">
        <f>ROUND(_xlfn.STDEV.S('[1]6 Week'!BF4:BF7),0)</f>
        <v>5</v>
      </c>
      <c r="AU81" s="44" t="s">
        <v>32</v>
      </c>
      <c r="AV81" s="59">
        <f>AVERAGE('[1]6 Week'!BF4:BF7)</f>
        <v>32.75</v>
      </c>
      <c r="AW81" s="71"/>
      <c r="AX81" s="71"/>
    </row>
    <row r="82" spans="1:50" x14ac:dyDescent="0.3">
      <c r="A82" s="71"/>
      <c r="B82" s="43"/>
      <c r="C82" s="43"/>
      <c r="D82" s="43"/>
      <c r="E82" s="43"/>
      <c r="F82" s="43"/>
      <c r="G82" s="57" t="s">
        <v>31</v>
      </c>
      <c r="H82" s="57">
        <f>ROUND((SUM('[1]6 Week'!BA4:BA7)/4)-1*Trifecta!F81,0)</f>
        <v>155</v>
      </c>
      <c r="I82" s="71"/>
      <c r="J82" s="43"/>
      <c r="K82" s="43"/>
      <c r="L82" s="43"/>
      <c r="M82" s="43"/>
      <c r="N82" s="43"/>
      <c r="O82" s="57" t="s">
        <v>31</v>
      </c>
      <c r="P82" s="57">
        <f>ROUND((SUM('[1]6 Week'!BB4:BB7)/4)-1*Trifecta!N81,0)</f>
        <v>117</v>
      </c>
      <c r="Q82" s="71"/>
      <c r="R82" s="43"/>
      <c r="S82" s="43"/>
      <c r="T82" s="43"/>
      <c r="U82" s="43"/>
      <c r="V82" s="43"/>
      <c r="W82" s="57" t="s">
        <v>31</v>
      </c>
      <c r="X82" s="57">
        <f>ROUND((SUM('[1]6 Week'!BC4:BC7)/4)-1*Trifecta!V81,0)</f>
        <v>0</v>
      </c>
      <c r="Y82" s="71"/>
      <c r="Z82" s="43"/>
      <c r="AA82" s="43"/>
      <c r="AB82" s="43"/>
      <c r="AC82" s="43"/>
      <c r="AD82" s="43"/>
      <c r="AE82" s="57" t="s">
        <v>31</v>
      </c>
      <c r="AF82" s="57">
        <f>ROUND((SUM('[1]6 Week'!BD4:BD7)/4)-1*Trifecta!AD81,0)</f>
        <v>0</v>
      </c>
      <c r="AG82" s="71"/>
      <c r="AH82" s="43"/>
      <c r="AI82" s="43"/>
      <c r="AJ82" s="43"/>
      <c r="AK82" s="43"/>
      <c r="AL82" s="43"/>
      <c r="AM82" s="57" t="s">
        <v>31</v>
      </c>
      <c r="AN82" s="57">
        <f>ROUND((SUM('[1]6 Week'!BE4:BE7)/4)-1*Trifecta!AL81,0)</f>
        <v>22</v>
      </c>
      <c r="AO82" s="71"/>
      <c r="AP82" s="43"/>
      <c r="AQ82" s="43"/>
      <c r="AR82" s="43"/>
      <c r="AS82" s="43"/>
      <c r="AT82" s="43"/>
      <c r="AU82" s="57" t="s">
        <v>31</v>
      </c>
      <c r="AV82" s="57">
        <f>ROUND((SUM('[1]6 Week'!BF4:BF7)/4)-1*Trifecta!AT81,0)</f>
        <v>28</v>
      </c>
      <c r="AW82" s="71"/>
      <c r="AX82" s="71"/>
    </row>
    <row r="83" spans="1:50" x14ac:dyDescent="0.3">
      <c r="A83" s="71"/>
      <c r="B83" s="43"/>
      <c r="C83" s="43"/>
      <c r="D83" s="43"/>
      <c r="E83" s="43"/>
      <c r="F83" s="43"/>
      <c r="G83" s="72" t="s">
        <v>46</v>
      </c>
      <c r="H83" s="72">
        <f>AA137</f>
        <v>170</v>
      </c>
      <c r="I83" s="71"/>
      <c r="J83" s="43"/>
      <c r="K83" s="43"/>
      <c r="L83" s="43"/>
      <c r="M83" s="43"/>
      <c r="N83" s="43"/>
      <c r="O83" s="72" t="s">
        <v>46</v>
      </c>
      <c r="P83" s="72">
        <f>AB137</f>
        <v>103</v>
      </c>
      <c r="Q83" s="71"/>
      <c r="R83" s="43"/>
      <c r="S83" s="43"/>
      <c r="T83" s="43"/>
      <c r="U83" s="43"/>
      <c r="V83" s="43"/>
      <c r="W83" s="72" t="s">
        <v>46</v>
      </c>
      <c r="X83" s="72">
        <f>AC137</f>
        <v>0</v>
      </c>
      <c r="Y83" s="71"/>
      <c r="Z83" s="43"/>
      <c r="AA83" s="43"/>
      <c r="AB83" s="43"/>
      <c r="AC83" s="43"/>
      <c r="AD83" s="43"/>
      <c r="AE83" s="72" t="s">
        <v>46</v>
      </c>
      <c r="AF83" s="72">
        <f>AD137</f>
        <v>0</v>
      </c>
      <c r="AG83" s="71"/>
      <c r="AH83" s="43"/>
      <c r="AI83" s="43"/>
      <c r="AJ83" s="43"/>
      <c r="AK83" s="43"/>
      <c r="AL83" s="43"/>
      <c r="AM83" s="72" t="s">
        <v>46</v>
      </c>
      <c r="AN83" s="72">
        <f>AE137</f>
        <v>20</v>
      </c>
      <c r="AO83" s="71"/>
      <c r="AP83" s="43"/>
      <c r="AQ83" s="43"/>
      <c r="AR83" s="43"/>
      <c r="AS83" s="43"/>
      <c r="AT83" s="43"/>
      <c r="AU83" s="72" t="s">
        <v>46</v>
      </c>
      <c r="AV83" s="72">
        <f>AF137</f>
        <v>30</v>
      </c>
      <c r="AW83" s="71"/>
      <c r="AX83" s="71"/>
    </row>
    <row r="84" spans="1:50" x14ac:dyDescent="0.3">
      <c r="A84" s="71"/>
      <c r="B84" s="71"/>
      <c r="C84" s="71"/>
      <c r="D84" s="71"/>
      <c r="E84" s="71"/>
      <c r="F84" s="71"/>
      <c r="G84" s="71"/>
      <c r="H84" s="71"/>
      <c r="I84" s="71"/>
      <c r="J84" s="71"/>
      <c r="K84" s="71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  <c r="AV84" s="71"/>
      <c r="AW84" s="71"/>
      <c r="AX84" s="71"/>
    </row>
    <row r="85" spans="1:50" x14ac:dyDescent="0.3">
      <c r="A85" s="82" t="s">
        <v>17</v>
      </c>
      <c r="AX85" s="81" t="s">
        <v>17</v>
      </c>
    </row>
    <row r="86" spans="1:50" x14ac:dyDescent="0.3">
      <c r="A86" s="82"/>
      <c r="AX86" s="81"/>
    </row>
    <row r="87" spans="1:50" x14ac:dyDescent="0.3">
      <c r="A87" s="82"/>
      <c r="AX87" s="81"/>
    </row>
    <row r="88" spans="1:50" x14ac:dyDescent="0.3">
      <c r="A88" s="82"/>
      <c r="AX88" s="81"/>
    </row>
    <row r="89" spans="1:50" x14ac:dyDescent="0.3">
      <c r="A89" s="82"/>
      <c r="AX89" s="81"/>
    </row>
    <row r="90" spans="1:50" x14ac:dyDescent="0.3">
      <c r="A90" s="82"/>
      <c r="AX90" s="81"/>
    </row>
    <row r="91" spans="1:50" x14ac:dyDescent="0.3">
      <c r="A91" s="82"/>
      <c r="AX91" s="81"/>
    </row>
    <row r="92" spans="1:50" x14ac:dyDescent="0.3">
      <c r="A92" s="82"/>
      <c r="AX92" s="81"/>
    </row>
    <row r="93" spans="1:50" x14ac:dyDescent="0.3">
      <c r="A93" s="82"/>
      <c r="AX93" s="81"/>
    </row>
    <row r="94" spans="1:50" x14ac:dyDescent="0.3">
      <c r="A94" s="82"/>
      <c r="AX94" s="81"/>
    </row>
    <row r="95" spans="1:50" x14ac:dyDescent="0.3">
      <c r="A95" s="82"/>
      <c r="AX95" s="81"/>
    </row>
    <row r="96" spans="1:50" x14ac:dyDescent="0.3">
      <c r="A96" s="82"/>
      <c r="AX96" s="81"/>
    </row>
    <row r="97" spans="1:50" x14ac:dyDescent="0.3">
      <c r="A97" s="82"/>
      <c r="AX97" s="81"/>
    </row>
    <row r="98" spans="1:50" x14ac:dyDescent="0.3">
      <c r="A98" s="82"/>
      <c r="AX98" s="81"/>
    </row>
    <row r="99" spans="1:50" x14ac:dyDescent="0.3">
      <c r="A99" s="82"/>
      <c r="AX99" s="81"/>
    </row>
    <row r="100" spans="1:50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  <c r="AO100" s="77"/>
      <c r="AP100" s="77"/>
      <c r="AQ100" s="77"/>
      <c r="AR100" s="77"/>
      <c r="AS100" s="77"/>
      <c r="AT100" s="77"/>
      <c r="AU100" s="77"/>
      <c r="AV100" s="77"/>
      <c r="AW100" s="77"/>
      <c r="AX100" s="77"/>
    </row>
    <row r="101" spans="1:50" x14ac:dyDescent="0.3">
      <c r="A101" s="77"/>
      <c r="B101" s="7" t="s">
        <v>58</v>
      </c>
      <c r="C101" s="78" t="s">
        <v>57</v>
      </c>
      <c r="D101" s="7" t="s">
        <v>56</v>
      </c>
      <c r="E101" s="7" t="s">
        <v>28</v>
      </c>
      <c r="F101" s="7" t="s">
        <v>55</v>
      </c>
      <c r="G101" s="56" t="s">
        <v>33</v>
      </c>
      <c r="H101" s="56">
        <f>ROUND(((SUM('[1]6 Week'!BQ4:BQ7))/4)+2*Trifecta!F102,0)</f>
        <v>222</v>
      </c>
      <c r="I101" s="77"/>
      <c r="J101" s="7" t="s">
        <v>58</v>
      </c>
      <c r="K101" s="78" t="s">
        <v>57</v>
      </c>
      <c r="L101" s="7" t="s">
        <v>56</v>
      </c>
      <c r="M101" s="7" t="s">
        <v>28</v>
      </c>
      <c r="N101" s="7" t="s">
        <v>55</v>
      </c>
      <c r="O101" s="56" t="s">
        <v>33</v>
      </c>
      <c r="P101" s="56">
        <f>ROUND(((SUM('[1]6 Week'!BR4:BR7))/4)+2*Trifecta!N102,0)</f>
        <v>166</v>
      </c>
      <c r="Q101" s="77"/>
      <c r="R101" s="7" t="s">
        <v>58</v>
      </c>
      <c r="S101" s="78" t="s">
        <v>57</v>
      </c>
      <c r="T101" s="7" t="s">
        <v>56</v>
      </c>
      <c r="U101" s="7" t="s">
        <v>28</v>
      </c>
      <c r="V101" s="7" t="s">
        <v>55</v>
      </c>
      <c r="W101" s="56" t="s">
        <v>33</v>
      </c>
      <c r="X101" s="56">
        <f>ROUND(((SUM('[1]6 Week'!BS4:BS7))/4)+2*Trifecta!V102,0)</f>
        <v>0</v>
      </c>
      <c r="Y101" s="77"/>
      <c r="Z101" s="79" t="s">
        <v>58</v>
      </c>
      <c r="AA101" s="80" t="s">
        <v>57</v>
      </c>
      <c r="AB101" s="79" t="s">
        <v>56</v>
      </c>
      <c r="AC101" s="79" t="s">
        <v>28</v>
      </c>
      <c r="AD101" s="79" t="s">
        <v>55</v>
      </c>
      <c r="AE101" s="56" t="s">
        <v>33</v>
      </c>
      <c r="AF101" s="56">
        <f>ROUND(((SUM('[1]6 Week'!BT4:BT7))/4)+2*Trifecta!AD102,0)</f>
        <v>3</v>
      </c>
      <c r="AG101" s="77"/>
      <c r="AH101" s="7" t="s">
        <v>58</v>
      </c>
      <c r="AI101" s="78" t="s">
        <v>57</v>
      </c>
      <c r="AJ101" s="7" t="s">
        <v>56</v>
      </c>
      <c r="AK101" s="7" t="s">
        <v>28</v>
      </c>
      <c r="AL101" s="7" t="s">
        <v>55</v>
      </c>
      <c r="AM101" s="56" t="s">
        <v>33</v>
      </c>
      <c r="AN101" s="56">
        <f>ROUND(((SUM('[1]6 Week'!BU4:BU7))/4)+2*Trifecta!AL102,0)</f>
        <v>60</v>
      </c>
      <c r="AO101" s="77"/>
      <c r="AP101" s="7" t="s">
        <v>58</v>
      </c>
      <c r="AQ101" s="78" t="s">
        <v>57</v>
      </c>
      <c r="AR101" s="7" t="s">
        <v>56</v>
      </c>
      <c r="AS101" s="7" t="s">
        <v>28</v>
      </c>
      <c r="AT101" s="7" t="s">
        <v>55</v>
      </c>
      <c r="AU101" s="56" t="s">
        <v>33</v>
      </c>
      <c r="AV101" s="56">
        <f>ROUND(((SUM('[1]6 Week'!BV4:BV7))/4)+2*Trifecta!AT102,0)</f>
        <v>40</v>
      </c>
      <c r="AW101" s="77"/>
      <c r="AX101" s="77"/>
    </row>
    <row r="102" spans="1:50" x14ac:dyDescent="0.3">
      <c r="A102" s="77"/>
      <c r="B102" s="45">
        <f>ROUND(SUM('[1]6 Week'!BQ2:BQ5)/4,0)</f>
        <v>222</v>
      </c>
      <c r="C102" s="45">
        <f>ROUND(SUM('[1]6 Week'!BQ3:BQ6)/4,0)</f>
        <v>206</v>
      </c>
      <c r="D102" s="45">
        <f>ROUND(SUM('[1]6 Week'!BQ4:BQ7)/4,0)</f>
        <v>210</v>
      </c>
      <c r="E102" s="73">
        <f>AVERAGE('[1]6 Week'!BQ8)</f>
        <v>218.66666666666666</v>
      </c>
      <c r="F102" s="45">
        <f>ROUND(_xlfn.STDEV.S('[1]6 Week'!BQ4:BQ7),0)</f>
        <v>6</v>
      </c>
      <c r="G102" s="44" t="s">
        <v>32</v>
      </c>
      <c r="H102" s="59">
        <f>AVERAGE('[1]6 Week'!BQ4:BQ7)</f>
        <v>210</v>
      </c>
      <c r="I102" s="77"/>
      <c r="J102" s="45">
        <f>ROUND(SUM('[1]6 Week'!BR2:BR5)/4,0)</f>
        <v>162</v>
      </c>
      <c r="K102" s="45">
        <f>ROUND(SUM('[1]6 Week'!BR3:BR6)/4,0)</f>
        <v>159</v>
      </c>
      <c r="L102" s="45">
        <f>ROUND(SUM('[1]6 Week'!BR4:BR7)/4,0)</f>
        <v>138</v>
      </c>
      <c r="M102" s="73">
        <f>AVERAGE('[1]6 Week'!BR8)</f>
        <v>156</v>
      </c>
      <c r="N102" s="45">
        <f>ROUND(_xlfn.STDEV.S('[1]6 Week'!BR4:BR7),0)</f>
        <v>14</v>
      </c>
      <c r="O102" s="44" t="s">
        <v>32</v>
      </c>
      <c r="P102" s="59">
        <f>AVERAGE('[1]6 Week'!BR4:BR7)</f>
        <v>138.25</v>
      </c>
      <c r="Q102" s="77"/>
      <c r="R102" s="45">
        <f>ROUND(SUM('[1]6 Week'!BS2:BS5)/4,0)</f>
        <v>0</v>
      </c>
      <c r="S102" s="45">
        <f>ROUND(SUM('[1]6 Week'!BS3:BS6)/4,0)</f>
        <v>0</v>
      </c>
      <c r="T102" s="45">
        <f>ROUND(SUM('[1]6 Week'!BS4:BS7)/4,0)</f>
        <v>0</v>
      </c>
      <c r="U102" s="73">
        <f>AVERAGE('[1]6 Week'!BS8)</f>
        <v>0</v>
      </c>
      <c r="V102" s="45">
        <f>ROUND(_xlfn.STDEV.S('[1]6 Week'!BS4:BS7),0)</f>
        <v>0</v>
      </c>
      <c r="W102" s="44" t="s">
        <v>32</v>
      </c>
      <c r="X102" s="59">
        <f>AVERAGE('[1]6 Week'!BS4:BS7)</f>
        <v>0</v>
      </c>
      <c r="Y102" s="77"/>
      <c r="Z102" s="45">
        <f>ROUND(SUM('[1]6 Week'!BT2:BT5)/4,0)</f>
        <v>2</v>
      </c>
      <c r="AA102" s="45">
        <f>ROUND(SUM('[1]6 Week'!BT3:BT6)/4,0)</f>
        <v>1</v>
      </c>
      <c r="AB102" s="45">
        <f>ROUND(SUM('[1]6 Week'!BT4:BT7)/4,0)</f>
        <v>1</v>
      </c>
      <c r="AC102" s="73">
        <f>AVERAGE('[1]6 Week'!BT8)</f>
        <v>1.5</v>
      </c>
      <c r="AD102" s="45">
        <f>ROUND(_xlfn.STDEV.S('[1]6 Week'!BT4:BT7),0)</f>
        <v>1</v>
      </c>
      <c r="AE102" s="44" t="s">
        <v>32</v>
      </c>
      <c r="AF102" s="59">
        <f>AVERAGE('[1]6 Week'!BT4:BT7)</f>
        <v>0.75</v>
      </c>
      <c r="AG102" s="77"/>
      <c r="AH102" s="45">
        <f>ROUND(SUM('[1]6 Week'!BU2:BU5)/4,0)</f>
        <v>47</v>
      </c>
      <c r="AI102" s="45">
        <f>ROUND(SUM('[1]6 Week'!BU3:BU6)/4,0)</f>
        <v>49</v>
      </c>
      <c r="AJ102" s="45">
        <f>ROUND(SUM('[1]6 Week'!BU4:BU7)/4,0)</f>
        <v>46</v>
      </c>
      <c r="AK102" s="73">
        <f>AVERAGE('[1]6 Week'!BU8)</f>
        <v>47.166666666666664</v>
      </c>
      <c r="AL102" s="45">
        <f>ROUND(_xlfn.STDEV.S('[1]6 Week'!BU4:BU7),0)</f>
        <v>7</v>
      </c>
      <c r="AM102" s="44" t="s">
        <v>32</v>
      </c>
      <c r="AN102" s="59">
        <f>AVERAGE('[1]6 Week'!BU4:BU7)</f>
        <v>46.25</v>
      </c>
      <c r="AO102" s="77"/>
      <c r="AP102" s="45">
        <f>ROUND(SUM('[1]6 Week'!BV2:BV5)/4,0)</f>
        <v>33</v>
      </c>
      <c r="AQ102" s="45">
        <f>ROUND(SUM('[1]6 Week'!BV3:BV6)/4,0)</f>
        <v>36</v>
      </c>
      <c r="AR102" s="45">
        <f>ROUND(SUM('[1]6 Week'!BV4:BV7)/4,0)</f>
        <v>38</v>
      </c>
      <c r="AS102" s="73">
        <f>AVERAGE('[1]6 Week'!BV8)</f>
        <v>34.333333333333336</v>
      </c>
      <c r="AT102" s="45">
        <f>ROUND(_xlfn.STDEV.S('[1]6 Week'!BV4:BV7),0)</f>
        <v>1</v>
      </c>
      <c r="AU102" s="44" t="s">
        <v>32</v>
      </c>
      <c r="AV102" s="59">
        <f>AVERAGE('[1]6 Week'!BV4:BV7)</f>
        <v>37.5</v>
      </c>
      <c r="AW102" s="77"/>
      <c r="AX102" s="77"/>
    </row>
    <row r="103" spans="1:50" x14ac:dyDescent="0.3">
      <c r="A103" s="77"/>
      <c r="B103" s="43"/>
      <c r="C103" s="43"/>
      <c r="D103" s="43"/>
      <c r="E103" s="43"/>
      <c r="F103" s="43"/>
      <c r="G103" s="57" t="s">
        <v>31</v>
      </c>
      <c r="H103" s="57">
        <f>ROUND((SUM('[1]6 Week'!BQ4:BQ7)/4)-1*Trifecta!F102,0)</f>
        <v>204</v>
      </c>
      <c r="I103" s="77"/>
      <c r="J103" s="43"/>
      <c r="K103" s="43"/>
      <c r="L103" s="43"/>
      <c r="M103" s="43"/>
      <c r="N103" s="43"/>
      <c r="O103" s="57" t="s">
        <v>31</v>
      </c>
      <c r="P103" s="57">
        <f>ROUND((SUM('[1]6 Week'!BR4:BR7)/4)-1*Trifecta!N102,0)</f>
        <v>124</v>
      </c>
      <c r="Q103" s="77"/>
      <c r="R103" s="43"/>
      <c r="S103" s="43"/>
      <c r="T103" s="43"/>
      <c r="U103" s="43"/>
      <c r="V103" s="43"/>
      <c r="W103" s="57" t="s">
        <v>31</v>
      </c>
      <c r="X103" s="57">
        <f>ROUND((SUM('[1]6 Week'!BS4:BS7)/4)-1*Trifecta!V102,0)</f>
        <v>0</v>
      </c>
      <c r="Y103" s="77"/>
      <c r="Z103" s="43"/>
      <c r="AA103" s="43"/>
      <c r="AB103" s="43"/>
      <c r="AC103" s="43"/>
      <c r="AD103" s="43"/>
      <c r="AE103" s="57" t="s">
        <v>31</v>
      </c>
      <c r="AF103" s="57">
        <f>ROUND((SUM('[1]6 Week'!BT4:BT7)/4)-1*Trifecta!AD102,0)</f>
        <v>0</v>
      </c>
      <c r="AG103" s="77"/>
      <c r="AH103" s="43"/>
      <c r="AI103" s="43"/>
      <c r="AJ103" s="43"/>
      <c r="AK103" s="43"/>
      <c r="AL103" s="43"/>
      <c r="AM103" s="57" t="s">
        <v>31</v>
      </c>
      <c r="AN103" s="57">
        <f>ROUND((SUM('[1]6 Week'!BU4:BU7)/4)-1*Trifecta!AL102,0)</f>
        <v>39</v>
      </c>
      <c r="AO103" s="77"/>
      <c r="AP103" s="43"/>
      <c r="AQ103" s="43"/>
      <c r="AR103" s="43"/>
      <c r="AS103" s="43"/>
      <c r="AT103" s="43"/>
      <c r="AU103" s="57" t="s">
        <v>31</v>
      </c>
      <c r="AV103" s="57">
        <f>ROUND((SUM('[1]6 Week'!BV4:BV7)/4)-1*Trifecta!AT102,0)</f>
        <v>37</v>
      </c>
      <c r="AW103" s="77"/>
      <c r="AX103" s="77"/>
    </row>
    <row r="104" spans="1:50" x14ac:dyDescent="0.3">
      <c r="A104" s="77"/>
      <c r="B104" s="43"/>
      <c r="C104" s="43"/>
      <c r="D104" s="43"/>
      <c r="E104" s="43"/>
      <c r="F104" s="43"/>
      <c r="G104" s="72" t="s">
        <v>46</v>
      </c>
      <c r="H104" s="72">
        <f>AA138</f>
        <v>235</v>
      </c>
      <c r="I104" s="77"/>
      <c r="J104" s="43"/>
      <c r="K104" s="43"/>
      <c r="L104" s="43"/>
      <c r="M104" s="43"/>
      <c r="N104" s="43"/>
      <c r="O104" s="72" t="s">
        <v>46</v>
      </c>
      <c r="P104" s="72">
        <f>AB138</f>
        <v>191</v>
      </c>
      <c r="Q104" s="77"/>
      <c r="R104" s="43"/>
      <c r="S104" s="43"/>
      <c r="T104" s="43"/>
      <c r="U104" s="43"/>
      <c r="V104" s="43"/>
      <c r="W104" s="72" t="s">
        <v>46</v>
      </c>
      <c r="X104" s="72">
        <f>AC138</f>
        <v>0</v>
      </c>
      <c r="Y104" s="77"/>
      <c r="Z104" s="43"/>
      <c r="AA104" s="43"/>
      <c r="AB104" s="43"/>
      <c r="AC104" s="43"/>
      <c r="AD104" s="43"/>
      <c r="AE104" s="72" t="s">
        <v>46</v>
      </c>
      <c r="AF104" s="72">
        <f>AD138</f>
        <v>0</v>
      </c>
      <c r="AG104" s="77"/>
      <c r="AH104" s="43"/>
      <c r="AI104" s="43"/>
      <c r="AJ104" s="43"/>
      <c r="AK104" s="43"/>
      <c r="AL104" s="43"/>
      <c r="AM104" s="72" t="s">
        <v>46</v>
      </c>
      <c r="AN104" s="72">
        <f>AE138</f>
        <v>37</v>
      </c>
      <c r="AO104" s="77"/>
      <c r="AP104" s="43"/>
      <c r="AQ104" s="43"/>
      <c r="AR104" s="43"/>
      <c r="AS104" s="43"/>
      <c r="AT104" s="43"/>
      <c r="AU104" s="72" t="s">
        <v>46</v>
      </c>
      <c r="AV104" s="72">
        <f>AF138</f>
        <v>18</v>
      </c>
      <c r="AW104" s="77"/>
      <c r="AX104" s="77"/>
    </row>
    <row r="105" spans="1:50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  <c r="AG105" s="77"/>
      <c r="AH105" s="77"/>
      <c r="AI105" s="77"/>
      <c r="AJ105" s="77"/>
      <c r="AK105" s="77"/>
      <c r="AL105" s="77"/>
      <c r="AM105" s="77"/>
      <c r="AN105" s="77"/>
      <c r="AO105" s="77"/>
      <c r="AP105" s="77"/>
      <c r="AQ105" s="77"/>
      <c r="AR105" s="77"/>
      <c r="AS105" s="77"/>
      <c r="AT105" s="77"/>
      <c r="AU105" s="77"/>
      <c r="AV105" s="77"/>
      <c r="AW105" s="77"/>
      <c r="AX105" s="77"/>
    </row>
    <row r="106" spans="1:50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  <c r="AG106" s="77"/>
      <c r="AH106" s="77"/>
      <c r="AI106" s="77"/>
      <c r="AJ106" s="77"/>
      <c r="AK106" s="77"/>
      <c r="AL106" s="77"/>
      <c r="AM106" s="77"/>
      <c r="AN106" s="77"/>
      <c r="AO106" s="77"/>
      <c r="AP106" s="77"/>
      <c r="AQ106" s="77"/>
      <c r="AR106" s="77"/>
      <c r="AS106" s="77"/>
      <c r="AT106" s="77"/>
      <c r="AU106" s="77"/>
      <c r="AV106" s="77"/>
      <c r="AW106" s="77"/>
      <c r="AX106" s="77"/>
    </row>
    <row r="107" spans="1:50" x14ac:dyDescent="0.3">
      <c r="A107" s="76" t="s">
        <v>19</v>
      </c>
      <c r="AX107" s="75" t="s">
        <v>19</v>
      </c>
    </row>
    <row r="108" spans="1:50" x14ac:dyDescent="0.3">
      <c r="A108" s="76"/>
      <c r="AX108" s="75"/>
    </row>
    <row r="109" spans="1:50" x14ac:dyDescent="0.3">
      <c r="A109" s="76"/>
      <c r="AX109" s="75"/>
    </row>
    <row r="110" spans="1:50" x14ac:dyDescent="0.3">
      <c r="A110" s="76"/>
      <c r="AX110" s="75"/>
    </row>
    <row r="111" spans="1:50" x14ac:dyDescent="0.3">
      <c r="A111" s="76"/>
      <c r="AX111" s="75"/>
    </row>
    <row r="112" spans="1:50" x14ac:dyDescent="0.3">
      <c r="A112" s="76"/>
      <c r="AX112" s="75"/>
    </row>
    <row r="113" spans="1:50" x14ac:dyDescent="0.3">
      <c r="A113" s="76"/>
      <c r="AX113" s="75"/>
    </row>
    <row r="114" spans="1:50" x14ac:dyDescent="0.3">
      <c r="A114" s="76"/>
      <c r="AX114" s="75"/>
    </row>
    <row r="115" spans="1:50" x14ac:dyDescent="0.3">
      <c r="A115" s="76"/>
      <c r="AX115" s="75"/>
    </row>
    <row r="116" spans="1:50" x14ac:dyDescent="0.3">
      <c r="A116" s="76"/>
      <c r="AX116" s="75"/>
    </row>
    <row r="117" spans="1:50" x14ac:dyDescent="0.3">
      <c r="A117" s="76"/>
      <c r="AX117" s="75"/>
    </row>
    <row r="118" spans="1:50" x14ac:dyDescent="0.3">
      <c r="A118" s="76"/>
      <c r="AX118" s="75"/>
    </row>
    <row r="119" spans="1:50" x14ac:dyDescent="0.3">
      <c r="A119" s="76"/>
      <c r="AX119" s="75"/>
    </row>
    <row r="120" spans="1:50" x14ac:dyDescent="0.3">
      <c r="A120" s="76"/>
      <c r="AX120" s="75"/>
    </row>
    <row r="121" spans="1:50" x14ac:dyDescent="0.3">
      <c r="A121" s="76"/>
      <c r="AX121" s="75"/>
    </row>
    <row r="122" spans="1:50" x14ac:dyDescent="0.3">
      <c r="A122" s="71"/>
      <c r="B122" s="71"/>
      <c r="C122" s="71"/>
      <c r="D122" s="71"/>
      <c r="E122" s="71"/>
      <c r="F122" s="71"/>
      <c r="G122" s="71"/>
      <c r="H122" s="71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  <c r="AA122" s="71"/>
      <c r="AB122" s="71"/>
      <c r="AC122" s="71"/>
      <c r="AD122" s="71"/>
      <c r="AE122" s="71"/>
      <c r="AF122" s="71"/>
      <c r="AG122" s="71"/>
      <c r="AH122" s="71"/>
      <c r="AI122" s="71"/>
      <c r="AJ122" s="71"/>
      <c r="AK122" s="71"/>
      <c r="AL122" s="71"/>
      <c r="AM122" s="71"/>
      <c r="AN122" s="71"/>
      <c r="AO122" s="71"/>
      <c r="AP122" s="71"/>
      <c r="AQ122" s="71"/>
      <c r="AR122" s="71"/>
      <c r="AS122" s="71"/>
      <c r="AT122" s="71"/>
      <c r="AU122" s="71"/>
      <c r="AV122" s="71"/>
      <c r="AW122" s="71"/>
      <c r="AX122" s="71"/>
    </row>
    <row r="123" spans="1:50" x14ac:dyDescent="0.3">
      <c r="A123" s="71"/>
      <c r="B123" s="3" t="s">
        <v>58</v>
      </c>
      <c r="C123" s="74" t="s">
        <v>57</v>
      </c>
      <c r="D123" s="3" t="s">
        <v>56</v>
      </c>
      <c r="E123" s="3" t="s">
        <v>28</v>
      </c>
      <c r="F123" s="3" t="s">
        <v>55</v>
      </c>
      <c r="G123" s="56" t="s">
        <v>33</v>
      </c>
      <c r="H123" s="56">
        <f>ROUND((('[1]6 Week'!CG4+'[1]6 Week'!CG5+'[1]6 Week'!CG6+'[1]6 Week'!CG7)/4)+2*Trifecta!F124,0)</f>
        <v>393</v>
      </c>
      <c r="I123" s="71"/>
      <c r="J123" s="3" t="s">
        <v>58</v>
      </c>
      <c r="K123" s="74" t="s">
        <v>57</v>
      </c>
      <c r="L123" s="3" t="s">
        <v>56</v>
      </c>
      <c r="M123" s="3" t="s">
        <v>28</v>
      </c>
      <c r="N123" s="3" t="s">
        <v>55</v>
      </c>
      <c r="O123" s="56" t="s">
        <v>33</v>
      </c>
      <c r="P123" s="56">
        <f>ROUND((('[1]6 Week'!CH4+'[1]6 Week'!CH5+'[1]6 Week'!CH6+'[1]6 Week'!CH7)/4)+2*Trifecta!N124,0)</f>
        <v>254</v>
      </c>
      <c r="Q123" s="71"/>
      <c r="R123" s="3" t="s">
        <v>58</v>
      </c>
      <c r="S123" s="74" t="s">
        <v>57</v>
      </c>
      <c r="T123" s="3" t="s">
        <v>56</v>
      </c>
      <c r="U123" s="3" t="s">
        <v>28</v>
      </c>
      <c r="V123" s="3" t="s">
        <v>55</v>
      </c>
      <c r="W123" s="56" t="s">
        <v>33</v>
      </c>
      <c r="X123" s="56">
        <f>ROUND((('[1]6 Week'!CI4+'[1]6 Week'!CI5+'[1]6 Week'!CI6+'[1]6 Week'!CI7)/4)+2*Trifecta!V124,0)</f>
        <v>0</v>
      </c>
      <c r="Y123" s="71"/>
      <c r="Z123" s="3" t="s">
        <v>58</v>
      </c>
      <c r="AA123" s="74" t="s">
        <v>57</v>
      </c>
      <c r="AB123" s="3" t="s">
        <v>56</v>
      </c>
      <c r="AC123" s="3" t="s">
        <v>28</v>
      </c>
      <c r="AD123" s="3" t="s">
        <v>55</v>
      </c>
      <c r="AE123" s="56" t="s">
        <v>33</v>
      </c>
      <c r="AF123" s="56">
        <f>ROUND((('[1]6 Week'!CJ4+'[1]6 Week'!CJ5+'[1]6 Week'!CJ6+'[1]6 Week'!CJ7)/4)+2*Trifecta!AD124,0)</f>
        <v>0</v>
      </c>
      <c r="AG123" s="71"/>
      <c r="AH123" s="3" t="s">
        <v>58</v>
      </c>
      <c r="AI123" s="74" t="s">
        <v>57</v>
      </c>
      <c r="AJ123" s="3" t="s">
        <v>56</v>
      </c>
      <c r="AK123" s="3" t="s">
        <v>28</v>
      </c>
      <c r="AL123" s="3" t="s">
        <v>55</v>
      </c>
      <c r="AM123" s="56" t="s">
        <v>33</v>
      </c>
      <c r="AN123" s="56">
        <f>ROUND((('[1]6 Week'!CK4+'[1]6 Week'!CK5+'[1]6 Week'!CK6+'[1]6 Week'!CK7)/4)+2*Trifecta!AL124,0)</f>
        <v>96</v>
      </c>
      <c r="AO123" s="71"/>
      <c r="AP123" s="3" t="s">
        <v>58</v>
      </c>
      <c r="AQ123" s="74" t="s">
        <v>57</v>
      </c>
      <c r="AR123" s="3" t="s">
        <v>56</v>
      </c>
      <c r="AS123" s="3" t="s">
        <v>28</v>
      </c>
      <c r="AT123" s="3" t="s">
        <v>55</v>
      </c>
      <c r="AU123" s="56" t="s">
        <v>33</v>
      </c>
      <c r="AV123" s="56">
        <f>ROUND((('[1]6 Week'!CL4+'[1]6 Week'!CL5+'[1]6 Week'!CL6+'[1]6 Week'!CL7)/4)+2*Trifecta!AT124,0)</f>
        <v>57</v>
      </c>
      <c r="AW123" s="71"/>
      <c r="AX123" s="71"/>
    </row>
    <row r="124" spans="1:50" x14ac:dyDescent="0.3">
      <c r="A124" s="71"/>
      <c r="B124" s="45">
        <f>ROUND(('[1]6 Week'!CG2+'[1]6 Week'!CG3+'[1]6 Week'!CG4+'[1]6 Week'!CG5)/4,0)</f>
        <v>314</v>
      </c>
      <c r="C124" s="45">
        <f>ROUND(('[1]6 Week'!CG3+'[1]6 Week'!CG4+'[1]6 Week'!CG5+'[1]6 Week'!CG6)/4,0)</f>
        <v>319</v>
      </c>
      <c r="D124" s="45">
        <f>ROUND(('[1]6 Week'!CG4+'[1]6 Week'!CG5+'[1]6 Week'!CG6+'[1]6 Week'!CG7)/4,0)</f>
        <v>339</v>
      </c>
      <c r="E124" s="73">
        <f>AVERAGE('[1]6 Week'!CG8)</f>
        <v>327</v>
      </c>
      <c r="F124" s="45">
        <f>ROUND(_xlfn.STDEV.S('[1]6 Week'!CG2,'[1]6 Week'!CG3,'[1]6 Week'!CG4,'[1]6 Week'!CG5,'[1]6 Week'!CG6,'[1]6 Week'!CG7),0)</f>
        <v>27</v>
      </c>
      <c r="G124" s="44" t="s">
        <v>32</v>
      </c>
      <c r="H124" s="59">
        <f>AVERAGE('[1]6 Week'!CG4,'[1]6 Week'!CG5,'[1]6 Week'!CG6,'[1]6 Week'!CG7)</f>
        <v>338.75</v>
      </c>
      <c r="I124" s="71"/>
      <c r="J124" s="45">
        <f>ROUND(('[1]6 Week'!CH2+'[1]6 Week'!CH3+'[1]6 Week'!CH4+'[1]6 Week'!CH5)/4,0)</f>
        <v>205</v>
      </c>
      <c r="K124" s="45">
        <f>ROUND(('[1]6 Week'!CH3+'[1]6 Week'!CH4+'[1]6 Week'!CH5+'[1]6 Week'!CH6)/4,0)</f>
        <v>200</v>
      </c>
      <c r="L124" s="45">
        <f>ROUND(('[1]6 Week'!CH4+'[1]6 Week'!CH5+'[1]6 Week'!CH6+'[1]6 Week'!CH7)/4,0)</f>
        <v>208</v>
      </c>
      <c r="M124" s="73">
        <f>AVERAGE('[1]6 Week'!CH8)</f>
        <v>207.16666666666666</v>
      </c>
      <c r="N124" s="45">
        <f>ROUND(_xlfn.STDEV.S('[1]6 Week'!CH4,'[1]6 Week'!CH5,'[1]6 Week'!CH6,'[1]6 Week'!CH7),0)</f>
        <v>23</v>
      </c>
      <c r="O124" s="44" t="s">
        <v>32</v>
      </c>
      <c r="P124" s="59">
        <f>AVERAGE('[1]6 Week'!CH4,'[1]6 Week'!CH5,'[1]6 Week'!CH6,'[1]6 Week'!CH7)</f>
        <v>208.25</v>
      </c>
      <c r="Q124" s="71"/>
      <c r="R124" s="45">
        <f>ROUND(('[1]6 Week'!CI2+'[1]6 Week'!CI3+'[1]6 Week'!CI4+'[1]6 Week'!CI5)/4,0)</f>
        <v>0</v>
      </c>
      <c r="S124" s="45">
        <f>ROUND(('[1]6 Week'!CI3+'[1]6 Week'!CI4+'[1]6 Week'!CI5+'[1]6 Week'!CI6)/4,0)</f>
        <v>0</v>
      </c>
      <c r="T124" s="45">
        <f>ROUND(('[1]6 Week'!CI4+'[1]6 Week'!CI5+'[1]6 Week'!CI6+'[1]6 Week'!CI7)/4,0)</f>
        <v>0</v>
      </c>
      <c r="U124" s="73">
        <f>'[1]6 Week'!CI8</f>
        <v>0</v>
      </c>
      <c r="V124" s="45">
        <f>ROUND(_xlfn.STDEV.S('[1]6 Week'!CI4,'[1]6 Week'!CI5,'[1]6 Week'!CI6,'[1]6 Week'!CI7),0)</f>
        <v>0</v>
      </c>
      <c r="W124" s="44" t="s">
        <v>32</v>
      </c>
      <c r="X124" s="59">
        <f>AVERAGE('[1]6 Week'!CI4,'[1]6 Week'!CI5,'[1]6 Week'!CI6,'[1]6 Week'!CI7)</f>
        <v>0</v>
      </c>
      <c r="Y124" s="71"/>
      <c r="Z124" s="45">
        <f>ROUND(('[1]6 Week'!CJ2+'[1]6 Week'!CJ3+'[1]6 Week'!CJ4+'[1]6 Week'!CJ5)/4,0)</f>
        <v>0</v>
      </c>
      <c r="AA124" s="45">
        <f>ROUND(('[1]6 Week'!CJ3+'[1]6 Week'!CJ4+'[1]6 Week'!CJ5+'[1]6 Week'!CJ6+'[1]6 Week'!CJ7)/4,0)</f>
        <v>0</v>
      </c>
      <c r="AB124" s="45">
        <f>ROUND(('[1]6 Week'!CJ4+'[1]6 Week'!CJ5+'[1]6 Week'!CJ6+'[1]6 Week'!CJ7)/4,0)</f>
        <v>0</v>
      </c>
      <c r="AC124" s="73">
        <f>'[1]6 Week'!CJ8</f>
        <v>0</v>
      </c>
      <c r="AD124" s="45">
        <f>ROUND(_xlfn.STDEV.S('[1]6 Week'!CJ4,'[1]6 Week'!CJ5,'[1]6 Week'!CJ6,'[1]6 Week'!CJ7),0)</f>
        <v>0</v>
      </c>
      <c r="AE124" s="44" t="s">
        <v>32</v>
      </c>
      <c r="AF124" s="59">
        <f>AVERAGE('[1]6 Week'!CJ4:CJ7)</f>
        <v>0</v>
      </c>
      <c r="AG124" s="71"/>
      <c r="AH124" s="45">
        <f>ROUND(('[1]6 Week'!CK2+'[1]6 Week'!CK3+'[1]6 Week'!CK4+'[1]6 Week'!CK5)/4,0)</f>
        <v>73</v>
      </c>
      <c r="AI124" s="45">
        <f>ROUND(('[1]6 Week'!CK3+'[1]6 Week'!CK4+'[1]6 Week'!CK5+'[1]6 Week'!CK6)/4,0)</f>
        <v>70</v>
      </c>
      <c r="AJ124" s="45">
        <f>ROUND(('[1]6 Week'!CK4+'[1]6 Week'!CK5+'[1]6 Week'!CK6+'[1]6 Week'!CK7)/4,0)</f>
        <v>72</v>
      </c>
      <c r="AK124" s="73">
        <f>'[1]6 Week'!CK8</f>
        <v>72.5</v>
      </c>
      <c r="AL124" s="45">
        <f>ROUND(_xlfn.STDEV.S('[1]6 Week'!CK4:CK7),0)</f>
        <v>12</v>
      </c>
      <c r="AM124" s="44" t="s">
        <v>32</v>
      </c>
      <c r="AN124" s="59">
        <f>AVERAGE('[1]6 Week'!CK4:CK7)</f>
        <v>72</v>
      </c>
      <c r="AO124" s="71"/>
      <c r="AP124" s="45">
        <f>ROUND(('[1]6 Week'!CL2+'[1]6 Week'!CL3+'[1]6 Week'!CL4+'[1]6 Week'!CL5)/4,0)</f>
        <v>48</v>
      </c>
      <c r="AQ124" s="45">
        <f>ROUND(('[1]6 Week'!CL3+'[1]6 Week'!CL4+'[1]6 Week'!CL5+'[1]6 Week'!CL6)/4,0)</f>
        <v>48</v>
      </c>
      <c r="AR124" s="45">
        <f>ROUND(('[1]6 Week'!CL4+'[1]6 Week'!CL5+'[1]6 Week'!CL6+'[1]6 Week'!CL7)/4,0)</f>
        <v>51</v>
      </c>
      <c r="AS124" s="73">
        <f>'[1]6 Week'!CL8</f>
        <v>47.833333333333336</v>
      </c>
      <c r="AT124" s="45">
        <f>ROUND(_xlfn.STDEV.S('[1]6 Week'!CL4:CL7),0)</f>
        <v>3</v>
      </c>
      <c r="AU124" s="44" t="s">
        <v>32</v>
      </c>
      <c r="AV124" s="59">
        <f>AVERAGE('[1]6 Week'!CL4:CL7)</f>
        <v>50.5</v>
      </c>
      <c r="AW124" s="71"/>
      <c r="AX124" s="71"/>
    </row>
    <row r="125" spans="1:50" x14ac:dyDescent="0.3">
      <c r="A125" s="71"/>
      <c r="B125" s="43"/>
      <c r="C125" s="43"/>
      <c r="D125" s="43"/>
      <c r="E125" s="43"/>
      <c r="F125" s="43"/>
      <c r="G125" s="57" t="s">
        <v>31</v>
      </c>
      <c r="H125" s="57">
        <f>ROUND((('[1]6 Week'!CG4+'[1]6 Week'!CG5+'[1]6 Week'!CG6+'[1]6 Week'!CG7)/4)-1*Trifecta!F124,0)</f>
        <v>312</v>
      </c>
      <c r="I125" s="71"/>
      <c r="J125" s="43"/>
      <c r="K125" s="43"/>
      <c r="L125" s="43"/>
      <c r="M125" s="43"/>
      <c r="N125" s="43"/>
      <c r="O125" s="57" t="s">
        <v>31</v>
      </c>
      <c r="P125" s="57">
        <f>ROUND((('[1]6 Week'!CH4+'[1]6 Week'!CH5+'[1]6 Week'!CH6+'[1]6 Week'!CH7)/4)-1*Trifecta!N124,0)</f>
        <v>185</v>
      </c>
      <c r="Q125" s="71"/>
      <c r="R125" s="43"/>
      <c r="S125" s="43"/>
      <c r="T125" s="43"/>
      <c r="U125" s="43"/>
      <c r="V125" s="43"/>
      <c r="W125" s="57" t="s">
        <v>31</v>
      </c>
      <c r="X125" s="57">
        <f>ROUND((('[1]6 Week'!CI4+'[1]6 Week'!CI5+'[1]6 Week'!CI6+'[1]6 Week'!CI7)/4)-1*Trifecta!V124,0)</f>
        <v>0</v>
      </c>
      <c r="Y125" s="71"/>
      <c r="Z125" s="43"/>
      <c r="AA125" s="43"/>
      <c r="AB125" s="43"/>
      <c r="AC125" s="43"/>
      <c r="AD125" s="43"/>
      <c r="AE125" s="57" t="s">
        <v>31</v>
      </c>
      <c r="AF125" s="57">
        <f>ROUND((('[1]6 Week'!CJ4+'[1]6 Week'!CJ5+'[1]6 Week'!CJ6+'[1]6 Week'!CJ7)/4)-1*Trifecta!AD124,0)</f>
        <v>0</v>
      </c>
      <c r="AG125" s="71"/>
      <c r="AH125" s="43"/>
      <c r="AI125" s="43"/>
      <c r="AJ125" s="43"/>
      <c r="AK125" s="43"/>
      <c r="AL125" s="43"/>
      <c r="AM125" s="57" t="s">
        <v>31</v>
      </c>
      <c r="AN125" s="57">
        <f>ROUND((('[1]6 Week'!CK4+'[1]6 Week'!CK5+'[1]6 Week'!CK6+'[1]6 Week'!CK7)/4)-1*Trifecta!AL124,0)</f>
        <v>60</v>
      </c>
      <c r="AO125" s="71"/>
      <c r="AP125" s="43"/>
      <c r="AQ125" s="43"/>
      <c r="AR125" s="43"/>
      <c r="AS125" s="43"/>
      <c r="AT125" s="43"/>
      <c r="AU125" s="57" t="s">
        <v>31</v>
      </c>
      <c r="AV125" s="57">
        <f>ROUND((('[1]6 Week'!CL4+'[1]6 Week'!CL5+'[1]6 Week'!CL6+'[1]6 Week'!CL7)/4)-1*Trifecta!AT124,0)</f>
        <v>48</v>
      </c>
      <c r="AW125" s="71"/>
      <c r="AX125" s="71"/>
    </row>
    <row r="126" spans="1:50" x14ac:dyDescent="0.3">
      <c r="A126" s="71"/>
      <c r="B126" s="43"/>
      <c r="C126" s="43"/>
      <c r="D126" s="43"/>
      <c r="E126" s="43"/>
      <c r="F126" s="43"/>
      <c r="G126" s="72" t="s">
        <v>46</v>
      </c>
      <c r="H126" s="72">
        <f>AA139</f>
        <v>313</v>
      </c>
      <c r="I126" s="71"/>
      <c r="J126" s="43"/>
      <c r="K126" s="43"/>
      <c r="L126" s="43"/>
      <c r="M126" s="43"/>
      <c r="N126" s="43"/>
      <c r="O126" s="72" t="s">
        <v>46</v>
      </c>
      <c r="P126" s="72">
        <f>AB139</f>
        <v>201</v>
      </c>
      <c r="Q126" s="71"/>
      <c r="R126" s="43"/>
      <c r="S126" s="43"/>
      <c r="T126" s="43"/>
      <c r="U126" s="43"/>
      <c r="V126" s="43"/>
      <c r="W126" s="72" t="s">
        <v>46</v>
      </c>
      <c r="X126" s="72">
        <f>AC139</f>
        <v>0</v>
      </c>
      <c r="Y126" s="71"/>
      <c r="Z126" s="43"/>
      <c r="AA126" s="43"/>
      <c r="AB126" s="43"/>
      <c r="AC126" s="43"/>
      <c r="AD126" s="43"/>
      <c r="AE126" s="72" t="s">
        <v>46</v>
      </c>
      <c r="AF126" s="72">
        <f>AD139</f>
        <v>0</v>
      </c>
      <c r="AG126" s="71"/>
      <c r="AH126" s="43"/>
      <c r="AI126" s="43"/>
      <c r="AJ126" s="43"/>
      <c r="AK126" s="43"/>
      <c r="AL126" s="43"/>
      <c r="AM126" s="72" t="s">
        <v>46</v>
      </c>
      <c r="AN126" s="72">
        <f>AE139</f>
        <v>70</v>
      </c>
      <c r="AO126" s="71"/>
      <c r="AP126" s="43"/>
      <c r="AQ126" s="43"/>
      <c r="AR126" s="43"/>
      <c r="AS126" s="43"/>
      <c r="AT126" s="43"/>
      <c r="AU126" s="72" t="s">
        <v>46</v>
      </c>
      <c r="AV126" s="72">
        <f>AF139</f>
        <v>50</v>
      </c>
      <c r="AW126" s="71"/>
      <c r="AX126" s="71"/>
    </row>
    <row r="127" spans="1:50" x14ac:dyDescent="0.3">
      <c r="A127" s="71"/>
      <c r="B127" s="71"/>
      <c r="C127" s="71"/>
      <c r="D127" s="71"/>
      <c r="E127" s="71"/>
      <c r="F127" s="71"/>
      <c r="G127" s="71"/>
      <c r="H127" s="71"/>
      <c r="I127" s="71"/>
      <c r="J127" s="71"/>
      <c r="K127" s="71"/>
      <c r="L127" s="71"/>
      <c r="M127" s="71"/>
      <c r="N127" s="71"/>
      <c r="O127" s="71"/>
      <c r="P127" s="71"/>
      <c r="Q127" s="71"/>
      <c r="R127" s="71"/>
      <c r="S127" s="71"/>
      <c r="T127" s="71"/>
      <c r="U127" s="71"/>
      <c r="V127" s="71"/>
      <c r="W127" s="71"/>
      <c r="X127" s="71"/>
      <c r="Y127" s="71"/>
      <c r="Z127" s="71"/>
      <c r="AA127" s="71"/>
      <c r="AB127" s="71"/>
      <c r="AC127" s="71"/>
      <c r="AD127" s="71"/>
      <c r="AE127" s="71"/>
      <c r="AF127" s="71"/>
      <c r="AG127" s="71"/>
      <c r="AH127" s="71"/>
      <c r="AI127" s="71"/>
      <c r="AJ127" s="71"/>
      <c r="AK127" s="71"/>
      <c r="AL127" s="71"/>
      <c r="AM127" s="71"/>
      <c r="AN127" s="71"/>
      <c r="AO127" s="71"/>
      <c r="AP127" s="71"/>
      <c r="AQ127" s="71"/>
      <c r="AR127" s="71"/>
      <c r="AS127" s="71"/>
      <c r="AT127" s="71"/>
      <c r="AU127" s="71"/>
      <c r="AV127" s="71"/>
      <c r="AW127" s="71"/>
      <c r="AX127" s="71"/>
    </row>
    <row r="132" spans="2:34" x14ac:dyDescent="0.3">
      <c r="B132" s="68" t="s">
        <v>54</v>
      </c>
      <c r="C132" s="67"/>
      <c r="D132" s="70" t="s">
        <v>53</v>
      </c>
      <c r="E132" s="69"/>
      <c r="F132" s="68" t="s">
        <v>52</v>
      </c>
      <c r="G132" s="67"/>
      <c r="H132" s="68" t="s">
        <v>51</v>
      </c>
      <c r="I132" s="67"/>
      <c r="J132" s="70" t="s">
        <v>50</v>
      </c>
      <c r="K132" s="69"/>
      <c r="L132" s="68" t="s">
        <v>49</v>
      </c>
      <c r="M132" s="67"/>
      <c r="N132" s="66" t="s">
        <v>48</v>
      </c>
      <c r="R132" s="65" t="s">
        <v>47</v>
      </c>
      <c r="S132" s="65"/>
      <c r="T132" s="65"/>
      <c r="Z132" s="28" t="s">
        <v>46</v>
      </c>
      <c r="AA132" s="28"/>
      <c r="AB132" s="28"/>
      <c r="AC132" s="28"/>
      <c r="AD132" s="28"/>
      <c r="AE132" s="28"/>
      <c r="AF132" s="28"/>
      <c r="AG132" s="28"/>
    </row>
    <row r="133" spans="2:34" x14ac:dyDescent="0.3">
      <c r="B133" s="61" t="s">
        <v>33</v>
      </c>
      <c r="C133" s="64">
        <f>SUM(H17,P17,X17,AF17,AN17,AV17)</f>
        <v>285</v>
      </c>
      <c r="D133" s="62" t="s">
        <v>33</v>
      </c>
      <c r="E133" s="64">
        <f>SUM(H38,P38,X38,AF38,AN38,AV38)</f>
        <v>373</v>
      </c>
      <c r="F133" s="61" t="s">
        <v>33</v>
      </c>
      <c r="G133" s="64">
        <f>SUM(H59,P59,X59,AF59,AN59,AV59)</f>
        <v>224</v>
      </c>
      <c r="H133" s="61" t="s">
        <v>33</v>
      </c>
      <c r="I133" s="64">
        <f>SUM(H80,P80,X80,AF80,AN80,AV80)</f>
        <v>481</v>
      </c>
      <c r="J133" s="62" t="s">
        <v>33</v>
      </c>
      <c r="K133" s="64">
        <f>SUM(H101,P101,X101,AF101,AN101,AV101)</f>
        <v>491</v>
      </c>
      <c r="L133" s="61" t="s">
        <v>33</v>
      </c>
      <c r="M133" s="64">
        <f>SUM(H123,P123,X123,AF123,AN123,AV123)</f>
        <v>800</v>
      </c>
      <c r="N133" s="58">
        <f>SUM(C133,E133,G133,I133,K133,M133)</f>
        <v>2654</v>
      </c>
      <c r="R133" s="58" t="s">
        <v>40</v>
      </c>
      <c r="S133" s="56" t="s">
        <v>33</v>
      </c>
      <c r="T133" s="56">
        <f>SUM(G133,I133,K133)</f>
        <v>1196</v>
      </c>
      <c r="Z133" s="43"/>
      <c r="AA133" s="35" t="s">
        <v>3</v>
      </c>
      <c r="AB133" s="35" t="s">
        <v>4</v>
      </c>
      <c r="AC133" s="35" t="s">
        <v>5</v>
      </c>
      <c r="AD133" s="35" t="s">
        <v>6</v>
      </c>
      <c r="AE133" s="35" t="s">
        <v>7</v>
      </c>
      <c r="AF133" s="35" t="s">
        <v>8</v>
      </c>
      <c r="AG133" s="35" t="s">
        <v>45</v>
      </c>
    </row>
    <row r="134" spans="2:34" x14ac:dyDescent="0.3">
      <c r="B134" s="61" t="s">
        <v>32</v>
      </c>
      <c r="C134" s="59">
        <f>SUM(H18,P18,X18,AF18,AN18,AV18)</f>
        <v>227.5</v>
      </c>
      <c r="D134" s="62" t="s">
        <v>32</v>
      </c>
      <c r="E134" s="59">
        <f>SUM(H39,P39,X39,AF39,AN39,AV39)</f>
        <v>290.5</v>
      </c>
      <c r="F134" s="61" t="s">
        <v>32</v>
      </c>
      <c r="G134" s="59">
        <f>SUM(H60,P60,X60,AF60,AN60,AV60)</f>
        <v>166.75</v>
      </c>
      <c r="H134" s="61" t="s">
        <v>32</v>
      </c>
      <c r="I134" s="59">
        <f>SUM(H81,P81,X81,AF81,AN81,AV81)</f>
        <v>373.75</v>
      </c>
      <c r="J134" s="62" t="s">
        <v>32</v>
      </c>
      <c r="K134" s="59">
        <f>SUM(H102,P102,X102,AF102,AN102,AV102)</f>
        <v>432.75</v>
      </c>
      <c r="L134" s="61" t="s">
        <v>32</v>
      </c>
      <c r="M134" s="59">
        <f>SUM(H124,P124,X124,AF124,AN124,AV124)</f>
        <v>669.5</v>
      </c>
      <c r="N134" s="63">
        <f>SUM(C134,E134,G134,I134,K134,M134)</f>
        <v>2160.75</v>
      </c>
      <c r="R134" s="58"/>
      <c r="S134" s="44" t="s">
        <v>32</v>
      </c>
      <c r="T134" s="59">
        <f>SUM(G134,I134,K134)</f>
        <v>973.25</v>
      </c>
      <c r="Z134" s="54" t="s">
        <v>2</v>
      </c>
      <c r="AA134" s="60">
        <v>137</v>
      </c>
      <c r="AB134" s="60">
        <v>66</v>
      </c>
      <c r="AC134" s="60">
        <v>0</v>
      </c>
      <c r="AD134" s="60">
        <v>0</v>
      </c>
      <c r="AE134" s="60">
        <v>19</v>
      </c>
      <c r="AF134" s="60">
        <v>21</v>
      </c>
      <c r="AG134" s="44">
        <f>SUBTOTAL(9,AA134:AF134)</f>
        <v>243</v>
      </c>
      <c r="AH134">
        <f>ROUND((AG134/54),0)</f>
        <v>5</v>
      </c>
    </row>
    <row r="135" spans="2:34" x14ac:dyDescent="0.3">
      <c r="B135" s="61" t="s">
        <v>31</v>
      </c>
      <c r="C135" s="57">
        <f>SUM(H19,P19,X19,AF19,AN19,AV19)</f>
        <v>198</v>
      </c>
      <c r="D135" s="62" t="s">
        <v>31</v>
      </c>
      <c r="E135" s="57">
        <f>SUM(H40,P40,X40,AF40,AN40,AV40)</f>
        <v>250</v>
      </c>
      <c r="F135" s="61" t="s">
        <v>31</v>
      </c>
      <c r="G135" s="57">
        <f>SUM(H61,P61,X61,AF61,AN61,AV61)</f>
        <v>137</v>
      </c>
      <c r="H135" s="61" t="s">
        <v>31</v>
      </c>
      <c r="I135" s="57">
        <f>SUM(H82,P82,X82,AF82,AN82,AV82)</f>
        <v>322</v>
      </c>
      <c r="J135" s="62" t="s">
        <v>31</v>
      </c>
      <c r="K135" s="57">
        <f>SUM(H103,P103,X103,AF103,AN103,AV103)</f>
        <v>404</v>
      </c>
      <c r="L135" s="61" t="s">
        <v>31</v>
      </c>
      <c r="M135" s="57">
        <f>SUM(H125,P125,X125,AF125,AN125,AV125)</f>
        <v>605</v>
      </c>
      <c r="N135" s="58">
        <f>SUM(C135,E135,G135,I135,K135,M135)</f>
        <v>1916</v>
      </c>
      <c r="R135" s="58"/>
      <c r="S135" s="57" t="s">
        <v>31</v>
      </c>
      <c r="T135" s="57">
        <f>SUM(G135,I135,K135)</f>
        <v>863</v>
      </c>
      <c r="Z135" s="56" t="s">
        <v>11</v>
      </c>
      <c r="AA135" s="60">
        <v>179</v>
      </c>
      <c r="AB135" s="60">
        <v>86</v>
      </c>
      <c r="AC135" s="60">
        <v>0</v>
      </c>
      <c r="AD135" s="60">
        <v>0</v>
      </c>
      <c r="AE135" s="60">
        <v>28</v>
      </c>
      <c r="AF135" s="60">
        <v>37</v>
      </c>
      <c r="AG135" s="44">
        <f>SUBTOTAL(9,AA135:AF135)</f>
        <v>330</v>
      </c>
      <c r="AH135">
        <f>ROUND((AG135/54),0)</f>
        <v>6</v>
      </c>
    </row>
    <row r="136" spans="2:34" x14ac:dyDescent="0.3">
      <c r="R136" s="58" t="s">
        <v>38</v>
      </c>
      <c r="S136" s="56" t="s">
        <v>33</v>
      </c>
      <c r="T136" s="56">
        <f>SUM(M133,C133,E133)</f>
        <v>1458</v>
      </c>
      <c r="Z136" s="54" t="s">
        <v>13</v>
      </c>
      <c r="AA136" s="55">
        <v>91</v>
      </c>
      <c r="AB136" s="55">
        <v>60</v>
      </c>
      <c r="AC136" s="55">
        <v>0</v>
      </c>
      <c r="AD136" s="55">
        <v>1</v>
      </c>
      <c r="AE136" s="55">
        <v>19</v>
      </c>
      <c r="AF136" s="55">
        <v>6</v>
      </c>
      <c r="AG136" s="44">
        <f>SUBTOTAL(9,AA136:AF136)</f>
        <v>177</v>
      </c>
      <c r="AH136">
        <f>ROUND((AG136/54),0)</f>
        <v>3</v>
      </c>
    </row>
    <row r="137" spans="2:34" x14ac:dyDescent="0.3">
      <c r="B137" s="39" t="s">
        <v>40</v>
      </c>
      <c r="C137" s="38" t="s">
        <v>3</v>
      </c>
      <c r="D137" s="38"/>
      <c r="E137" s="38"/>
      <c r="F137" s="36" t="s">
        <v>35</v>
      </c>
      <c r="G137" s="35" t="s">
        <v>34</v>
      </c>
      <c r="J137" s="39" t="s">
        <v>38</v>
      </c>
      <c r="K137" s="38" t="s">
        <v>3</v>
      </c>
      <c r="L137" s="38"/>
      <c r="M137" s="38"/>
      <c r="N137" s="36" t="s">
        <v>35</v>
      </c>
      <c r="O137" s="35" t="s">
        <v>34</v>
      </c>
      <c r="R137" s="58"/>
      <c r="S137" s="44" t="s">
        <v>32</v>
      </c>
      <c r="T137" s="59">
        <f>SUM(M134,C134,E134)</f>
        <v>1187.5</v>
      </c>
      <c r="Z137" s="54" t="s">
        <v>15</v>
      </c>
      <c r="AA137" s="55">
        <v>170</v>
      </c>
      <c r="AB137" s="55">
        <v>103</v>
      </c>
      <c r="AC137" s="55">
        <v>0</v>
      </c>
      <c r="AD137" s="55">
        <v>0</v>
      </c>
      <c r="AE137" s="55">
        <v>20</v>
      </c>
      <c r="AF137" s="55">
        <v>30</v>
      </c>
      <c r="AG137" s="44">
        <f>SUBTOTAL(9,AA137:AF137)</f>
        <v>323</v>
      </c>
      <c r="AH137">
        <f>ROUND((AG137/54),0)</f>
        <v>6</v>
      </c>
    </row>
    <row r="138" spans="2:34" x14ac:dyDescent="0.3">
      <c r="B138" s="35"/>
      <c r="C138" s="35" t="s">
        <v>33</v>
      </c>
      <c r="D138" s="35">
        <f>SUM(H59,H80,H101)</f>
        <v>529</v>
      </c>
      <c r="E138" s="35">
        <f>D138/54</f>
        <v>9.7962962962962958</v>
      </c>
      <c r="F138" s="35">
        <f>MROUND(D138/54,0.5)</f>
        <v>10</v>
      </c>
      <c r="G138" s="35">
        <f>F138*54</f>
        <v>540</v>
      </c>
      <c r="J138" s="35"/>
      <c r="K138" s="35" t="s">
        <v>33</v>
      </c>
      <c r="L138" s="35">
        <f>SUM(H123,H17,H38)</f>
        <v>745</v>
      </c>
      <c r="M138" s="35">
        <f>L138/54</f>
        <v>13.796296296296296</v>
      </c>
      <c r="N138" s="35">
        <f>MROUND(L138/54,0.5)</f>
        <v>14</v>
      </c>
      <c r="O138" s="35">
        <f>N138*54</f>
        <v>756</v>
      </c>
      <c r="R138" s="58"/>
      <c r="S138" s="57" t="s">
        <v>31</v>
      </c>
      <c r="T138" s="57">
        <f>SUM(M135,C135,E135)</f>
        <v>1053</v>
      </c>
      <c r="Z138" s="56" t="s">
        <v>17</v>
      </c>
      <c r="AA138" s="55">
        <v>235</v>
      </c>
      <c r="AB138" s="55">
        <v>191</v>
      </c>
      <c r="AC138" s="55">
        <v>0</v>
      </c>
      <c r="AD138" s="55">
        <v>0</v>
      </c>
      <c r="AE138" s="55">
        <v>37</v>
      </c>
      <c r="AF138" s="55">
        <v>18</v>
      </c>
      <c r="AG138" s="44">
        <f>SUBTOTAL(9,AA138:AF138)</f>
        <v>481</v>
      </c>
      <c r="AH138">
        <f>ROUND((AG138/54),0)</f>
        <v>9</v>
      </c>
    </row>
    <row r="139" spans="2:34" ht="15" thickBot="1" x14ac:dyDescent="0.35">
      <c r="B139" s="35"/>
      <c r="C139" s="35" t="s">
        <v>32</v>
      </c>
      <c r="D139" s="41">
        <f>SUM(H60,H81,H102)</f>
        <v>466.75</v>
      </c>
      <c r="E139" s="35">
        <f>D139/54</f>
        <v>8.643518518518519</v>
      </c>
      <c r="F139" s="35">
        <f>MROUND(D139/54,0.5)</f>
        <v>8.5</v>
      </c>
      <c r="G139" s="35">
        <f>F139*54</f>
        <v>459</v>
      </c>
      <c r="J139" s="35"/>
      <c r="K139" s="35" t="s">
        <v>32</v>
      </c>
      <c r="L139" s="41">
        <f>SUM(H124,H18,H39)</f>
        <v>625.25</v>
      </c>
      <c r="M139" s="35">
        <f>L139/54</f>
        <v>11.578703703703704</v>
      </c>
      <c r="N139" s="35">
        <f>MROUND(L139/54,0.5)</f>
        <v>11.5</v>
      </c>
      <c r="O139" s="35">
        <f>N139*54</f>
        <v>621</v>
      </c>
      <c r="Z139" s="54" t="s">
        <v>19</v>
      </c>
      <c r="AA139" s="53">
        <v>313</v>
      </c>
      <c r="AB139" s="53">
        <v>201</v>
      </c>
      <c r="AC139" s="53">
        <v>0</v>
      </c>
      <c r="AD139" s="53">
        <v>0</v>
      </c>
      <c r="AE139" s="53">
        <v>70</v>
      </c>
      <c r="AF139" s="53">
        <v>50</v>
      </c>
      <c r="AG139" s="44">
        <f>SUBTOTAL(9,AA139:AF139)</f>
        <v>634</v>
      </c>
      <c r="AH139">
        <f>ROUND((AG139/54),0)</f>
        <v>12</v>
      </c>
    </row>
    <row r="140" spans="2:34" ht="15" thickBot="1" x14ac:dyDescent="0.35">
      <c r="B140" s="35"/>
      <c r="C140" s="35" t="s">
        <v>31</v>
      </c>
      <c r="D140" s="35">
        <f>SUM(H61,H82,H103)</f>
        <v>436</v>
      </c>
      <c r="E140" s="35">
        <f>D140/54</f>
        <v>8.0740740740740744</v>
      </c>
      <c r="F140" s="35">
        <f>MROUND(D140/54,0.5)</f>
        <v>8</v>
      </c>
      <c r="G140" s="35">
        <f>F140*54</f>
        <v>432</v>
      </c>
      <c r="J140" s="35"/>
      <c r="K140" s="35" t="s">
        <v>31</v>
      </c>
      <c r="L140" s="35">
        <f>SUM(H125,H19,H40)</f>
        <v>565</v>
      </c>
      <c r="M140" s="35">
        <f>L140/54</f>
        <v>10.462962962962964</v>
      </c>
      <c r="N140" s="35">
        <f>MROUND(L140/54,0.5)</f>
        <v>10.5</v>
      </c>
      <c r="O140" s="35">
        <f>N140*54</f>
        <v>567</v>
      </c>
      <c r="Z140" s="52" t="s">
        <v>45</v>
      </c>
      <c r="AA140" s="51">
        <f>SUBTOTAL(9,AA134:AA139)</f>
        <v>1125</v>
      </c>
      <c r="AB140" s="50">
        <f>SUBTOTAL(9,AB134:AB139)</f>
        <v>707</v>
      </c>
      <c r="AC140" s="50">
        <f>SUBTOTAL(9,AC134:AC139)</f>
        <v>0</v>
      </c>
      <c r="AD140" s="50">
        <f>SUBTOTAL(9,AD134:AD139)</f>
        <v>1</v>
      </c>
      <c r="AE140" s="50">
        <f>SUBTOTAL(9,AE134:AE139)</f>
        <v>193</v>
      </c>
      <c r="AF140" s="49">
        <f>SUBTOTAL(9,AF134:AF139)</f>
        <v>162</v>
      </c>
      <c r="AG140" s="48">
        <f>SUM(AG134:AG139)</f>
        <v>2188</v>
      </c>
      <c r="AH140">
        <f>ROUND((AG140/54),0)</f>
        <v>41</v>
      </c>
    </row>
    <row r="141" spans="2:34" x14ac:dyDescent="0.3">
      <c r="Z141" s="45" t="s">
        <v>44</v>
      </c>
      <c r="AA141" s="47">
        <f>SUM(AA136:AA138)</f>
        <v>496</v>
      </c>
      <c r="AB141" s="47">
        <f>SUM(AB136:AB138)</f>
        <v>354</v>
      </c>
      <c r="AC141" s="47">
        <f>SUM(AC136:AC138)</f>
        <v>0</v>
      </c>
      <c r="AD141" s="47">
        <f>SUM(AD136:AD138)</f>
        <v>1</v>
      </c>
      <c r="AE141" s="47">
        <f>SUM(AE136:AE138)</f>
        <v>76</v>
      </c>
      <c r="AF141" s="47">
        <f>SUM(AF136:AF138)</f>
        <v>54</v>
      </c>
      <c r="AG141" s="46"/>
      <c r="AH141" s="42"/>
    </row>
    <row r="142" spans="2:34" x14ac:dyDescent="0.3">
      <c r="B142" s="39" t="s">
        <v>40</v>
      </c>
      <c r="C142" s="38" t="s">
        <v>4</v>
      </c>
      <c r="D142" s="38"/>
      <c r="E142" s="38"/>
      <c r="F142" s="36" t="s">
        <v>35</v>
      </c>
      <c r="G142" s="35" t="s">
        <v>34</v>
      </c>
      <c r="J142" s="39" t="s">
        <v>38</v>
      </c>
      <c r="K142" s="38" t="s">
        <v>4</v>
      </c>
      <c r="L142" s="38"/>
      <c r="M142" s="38"/>
      <c r="N142" s="36" t="s">
        <v>35</v>
      </c>
      <c r="O142" s="35" t="s">
        <v>34</v>
      </c>
      <c r="Z142" s="45" t="s">
        <v>17</v>
      </c>
      <c r="AA142" s="44">
        <f>SUM(AA139,AA134,AA135)</f>
        <v>629</v>
      </c>
      <c r="AB142" s="44">
        <f>SUM(AB139,AB134,AB135)</f>
        <v>353</v>
      </c>
      <c r="AC142" s="44">
        <f>SUM(AC139,AC134,AC135)</f>
        <v>0</v>
      </c>
      <c r="AD142" s="44">
        <f>SUM(AD139,AD134,AD135)</f>
        <v>0</v>
      </c>
      <c r="AE142" s="44">
        <f>SUM(AE139,AE134,AE135)</f>
        <v>117</v>
      </c>
      <c r="AF142" s="44">
        <f>SUM(AF139,AF134,AF135)</f>
        <v>108</v>
      </c>
      <c r="AG142" s="43"/>
      <c r="AH142" s="42"/>
    </row>
    <row r="143" spans="2:34" x14ac:dyDescent="0.3">
      <c r="B143" s="35"/>
      <c r="C143" s="35" t="s">
        <v>33</v>
      </c>
      <c r="D143" s="35">
        <f>SUM(P59,P80,P101)</f>
        <v>402</v>
      </c>
      <c r="E143" s="35">
        <f>D143/54</f>
        <v>7.4444444444444446</v>
      </c>
      <c r="F143" s="35">
        <f>MROUND(D143/54,0.5)</f>
        <v>7.5</v>
      </c>
      <c r="G143" s="35">
        <f>F143*54</f>
        <v>405</v>
      </c>
      <c r="J143" s="35"/>
      <c r="K143" s="35" t="s">
        <v>33</v>
      </c>
      <c r="L143" s="35">
        <f>SUM(P123,P17,P38)</f>
        <v>426</v>
      </c>
      <c r="M143" s="35">
        <f>L143/54</f>
        <v>7.8888888888888893</v>
      </c>
      <c r="N143" s="35">
        <f>MROUND(L143/54,0.5)</f>
        <v>8</v>
      </c>
      <c r="O143" s="35">
        <f>N143*54</f>
        <v>432</v>
      </c>
    </row>
    <row r="144" spans="2:34" x14ac:dyDescent="0.3">
      <c r="B144" s="35"/>
      <c r="C144" s="35" t="s">
        <v>32</v>
      </c>
      <c r="D144" s="35">
        <f>SUM(P60,P81,P102)</f>
        <v>320.25</v>
      </c>
      <c r="E144" s="35">
        <f>D144/54</f>
        <v>5.9305555555555554</v>
      </c>
      <c r="F144" s="35">
        <f>MROUND(D144/54,0.5)</f>
        <v>6</v>
      </c>
      <c r="G144" s="35">
        <f>F144*54</f>
        <v>324</v>
      </c>
      <c r="J144" s="35"/>
      <c r="K144" s="35" t="s">
        <v>32</v>
      </c>
      <c r="L144" s="41">
        <f>SUM(P124,P18,P39)</f>
        <v>347.75</v>
      </c>
      <c r="M144" s="35">
        <f>L144/54</f>
        <v>6.4398148148148149</v>
      </c>
      <c r="N144" s="35">
        <f>MROUND(L144/54,0.5)</f>
        <v>6.5</v>
      </c>
      <c r="O144" s="35">
        <f>N144*54</f>
        <v>351</v>
      </c>
    </row>
    <row r="145" spans="2:33" x14ac:dyDescent="0.3">
      <c r="B145" s="35"/>
      <c r="C145" s="35" t="s">
        <v>31</v>
      </c>
      <c r="D145" s="35">
        <f>SUM(P61,P82,P103)</f>
        <v>279</v>
      </c>
      <c r="E145" s="35">
        <f>D145/54</f>
        <v>5.166666666666667</v>
      </c>
      <c r="F145" s="35">
        <f>MROUND(D145/54,0.5)</f>
        <v>5</v>
      </c>
      <c r="G145" s="35">
        <f>F145*54</f>
        <v>270</v>
      </c>
      <c r="J145" s="35"/>
      <c r="K145" s="35" t="s">
        <v>31</v>
      </c>
      <c r="L145" s="35">
        <f>SUM(P125,P19,P40)</f>
        <v>309</v>
      </c>
      <c r="M145" s="35">
        <f>L145/54</f>
        <v>5.7222222222222223</v>
      </c>
      <c r="N145" s="35">
        <f>MROUND(L145/54,0.5)</f>
        <v>5.5</v>
      </c>
      <c r="O145" s="35">
        <f>N145*54</f>
        <v>297</v>
      </c>
    </row>
    <row r="147" spans="2:33" x14ac:dyDescent="0.3">
      <c r="B147" s="39" t="s">
        <v>40</v>
      </c>
      <c r="C147" s="38" t="s">
        <v>5</v>
      </c>
      <c r="D147" s="38"/>
      <c r="E147" s="38"/>
      <c r="F147" s="36" t="s">
        <v>35</v>
      </c>
      <c r="G147" s="35" t="s">
        <v>34</v>
      </c>
      <c r="J147" s="39" t="s">
        <v>38</v>
      </c>
      <c r="K147" s="38" t="s">
        <v>5</v>
      </c>
      <c r="L147" s="38"/>
      <c r="M147" s="38"/>
      <c r="N147" s="36" t="s">
        <v>35</v>
      </c>
      <c r="O147" s="35" t="s">
        <v>34</v>
      </c>
    </row>
    <row r="148" spans="2:33" x14ac:dyDescent="0.3">
      <c r="B148" s="35"/>
      <c r="C148" s="35" t="s">
        <v>33</v>
      </c>
      <c r="D148" s="35">
        <f>SUM(X59,X80,X101)</f>
        <v>0</v>
      </c>
      <c r="E148" s="35">
        <f>D148/54</f>
        <v>0</v>
      </c>
      <c r="F148" s="35">
        <f>MROUND(D148/54,0.5)</f>
        <v>0</v>
      </c>
      <c r="G148" s="35">
        <f>F148*54</f>
        <v>0</v>
      </c>
      <c r="J148" s="35"/>
      <c r="K148" s="35" t="s">
        <v>33</v>
      </c>
      <c r="L148" s="35">
        <f>SUM(X123,X17,X38)</f>
        <v>0</v>
      </c>
      <c r="M148" s="35">
        <f>L148/54</f>
        <v>0</v>
      </c>
      <c r="N148" s="35">
        <f>MROUND(L148/54,0.5)</f>
        <v>0</v>
      </c>
      <c r="O148" s="35">
        <f>N148*54</f>
        <v>0</v>
      </c>
    </row>
    <row r="149" spans="2:33" x14ac:dyDescent="0.3">
      <c r="B149" s="35"/>
      <c r="C149" s="35" t="s">
        <v>32</v>
      </c>
      <c r="D149" s="35">
        <f>SUM(X60,X81,X102)</f>
        <v>0</v>
      </c>
      <c r="E149" s="35">
        <f>D149/54</f>
        <v>0</v>
      </c>
      <c r="F149" s="35">
        <f>MROUND(D149/54,0.5)</f>
        <v>0</v>
      </c>
      <c r="G149" s="35">
        <f>F149*54</f>
        <v>0</v>
      </c>
      <c r="J149" s="35"/>
      <c r="K149" s="35" t="s">
        <v>32</v>
      </c>
      <c r="L149" s="35">
        <f>SUM(X124,X18,X39)</f>
        <v>0</v>
      </c>
      <c r="M149" s="35">
        <f>L149/54</f>
        <v>0</v>
      </c>
      <c r="N149" s="35">
        <f>MROUND(L149/54,0.5)</f>
        <v>0</v>
      </c>
      <c r="O149" s="35">
        <f>N149*54</f>
        <v>0</v>
      </c>
      <c r="AB149" t="s">
        <v>40</v>
      </c>
      <c r="AF149" t="s">
        <v>38</v>
      </c>
    </row>
    <row r="150" spans="2:33" x14ac:dyDescent="0.3">
      <c r="B150" s="35"/>
      <c r="C150" s="35" t="s">
        <v>31</v>
      </c>
      <c r="D150" s="35">
        <f>SUM(X61,X82,X103)</f>
        <v>0</v>
      </c>
      <c r="E150" s="35">
        <f>D150/54</f>
        <v>0</v>
      </c>
      <c r="F150" s="35">
        <f>MROUND(D150/54,0.5)</f>
        <v>0</v>
      </c>
      <c r="G150" s="35">
        <f>F150*54</f>
        <v>0</v>
      </c>
      <c r="J150" s="35"/>
      <c r="K150" s="35" t="s">
        <v>31</v>
      </c>
      <c r="L150" s="35">
        <f>SUM(X125,X19,X40)</f>
        <v>0</v>
      </c>
      <c r="M150" s="35">
        <f>L150/54</f>
        <v>0</v>
      </c>
      <c r="N150" s="35">
        <f>MROUND(L150/54,0.5)</f>
        <v>0</v>
      </c>
      <c r="O150" s="35">
        <f>N150*54</f>
        <v>0</v>
      </c>
      <c r="AB150" t="s">
        <v>43</v>
      </c>
      <c r="AC150">
        <f>SUM(96,184,212)</f>
        <v>492</v>
      </c>
      <c r="AF150" t="s">
        <v>43</v>
      </c>
      <c r="AG150">
        <f>SUM(366,140,158)</f>
        <v>664</v>
      </c>
    </row>
    <row r="151" spans="2:33" x14ac:dyDescent="0.3">
      <c r="AB151" t="s">
        <v>42</v>
      </c>
      <c r="AC151">
        <f>SUM(61,142,159)</f>
        <v>362</v>
      </c>
      <c r="AF151" t="s">
        <v>42</v>
      </c>
      <c r="AG151">
        <f>SUM(254,71,85)</f>
        <v>410</v>
      </c>
    </row>
    <row r="152" spans="2:33" x14ac:dyDescent="0.3">
      <c r="B152" s="39" t="s">
        <v>40</v>
      </c>
      <c r="C152" s="38" t="s">
        <v>6</v>
      </c>
      <c r="D152" s="38"/>
      <c r="E152" s="38"/>
      <c r="F152" s="36" t="s">
        <v>35</v>
      </c>
      <c r="G152" s="35" t="s">
        <v>34</v>
      </c>
      <c r="J152" s="39" t="s">
        <v>38</v>
      </c>
      <c r="K152" s="38" t="s">
        <v>6</v>
      </c>
      <c r="L152" s="38"/>
      <c r="M152" s="38"/>
      <c r="N152" s="36" t="s">
        <v>35</v>
      </c>
      <c r="O152" s="35" t="s">
        <v>34</v>
      </c>
      <c r="AB152" t="s">
        <v>7</v>
      </c>
      <c r="AC152" s="40">
        <f>SUM(25,38,59)</f>
        <v>122</v>
      </c>
      <c r="AF152" t="s">
        <v>7</v>
      </c>
      <c r="AG152" s="40">
        <f>SUM(72,28,31)</f>
        <v>131</v>
      </c>
    </row>
    <row r="153" spans="2:33" x14ac:dyDescent="0.3">
      <c r="B153" s="35"/>
      <c r="C153" s="35" t="s">
        <v>33</v>
      </c>
      <c r="D153" s="35">
        <f>SUM(AF59,AF80,AF101)</f>
        <v>3</v>
      </c>
      <c r="E153" s="35">
        <f>D153/54</f>
        <v>5.5555555555555552E-2</v>
      </c>
      <c r="F153" s="35">
        <f>MROUND(D153/54,0.5)</f>
        <v>0</v>
      </c>
      <c r="G153" s="35">
        <f>F153*54</f>
        <v>0</v>
      </c>
      <c r="J153" s="35"/>
      <c r="K153" s="35" t="s">
        <v>33</v>
      </c>
      <c r="L153" s="35">
        <f>SUM(AF123,AF17,AF38)</f>
        <v>2</v>
      </c>
      <c r="M153" s="35">
        <f>L153/54</f>
        <v>3.7037037037037035E-2</v>
      </c>
      <c r="N153" s="35">
        <f>MROUND(L153/54,0.5)</f>
        <v>0</v>
      </c>
      <c r="O153" s="35">
        <f>N153*54</f>
        <v>0</v>
      </c>
      <c r="AB153" t="s">
        <v>8</v>
      </c>
      <c r="AC153">
        <f>SUM(19,37,41)</f>
        <v>97</v>
      </c>
      <c r="AF153" t="s">
        <v>8</v>
      </c>
      <c r="AG153">
        <f>SUM(51,13,24)</f>
        <v>88</v>
      </c>
    </row>
    <row r="154" spans="2:33" x14ac:dyDescent="0.3">
      <c r="B154" s="35"/>
      <c r="C154" s="35" t="s">
        <v>32</v>
      </c>
      <c r="D154" s="35">
        <f>SUM(AF60,AF81,AF102)</f>
        <v>0.75</v>
      </c>
      <c r="E154" s="35">
        <f>D154/54</f>
        <v>1.3888888888888888E-2</v>
      </c>
      <c r="F154" s="35">
        <f>MROUND(D154/54,0.5)</f>
        <v>0</v>
      </c>
      <c r="G154" s="35">
        <f>F154*54</f>
        <v>0</v>
      </c>
      <c r="J154" s="35"/>
      <c r="K154" s="35" t="s">
        <v>32</v>
      </c>
      <c r="L154" s="35">
        <f>SUM(AF124,AF18,AF39)</f>
        <v>0.25</v>
      </c>
      <c r="M154" s="35">
        <f>L154/54</f>
        <v>4.6296296296296294E-3</v>
      </c>
      <c r="N154" s="35">
        <f>MROUND(L154/54,0.5)</f>
        <v>0</v>
      </c>
      <c r="O154" s="35">
        <f>N154*54</f>
        <v>0</v>
      </c>
    </row>
    <row r="155" spans="2:33" x14ac:dyDescent="0.3">
      <c r="B155" s="35"/>
      <c r="C155" s="35" t="s">
        <v>31</v>
      </c>
      <c r="D155" s="35">
        <f>SUM(AF61,AF82,AF103)</f>
        <v>0</v>
      </c>
      <c r="E155" s="35">
        <f>D155/54</f>
        <v>0</v>
      </c>
      <c r="F155" s="35">
        <f>MROUND(D155/54,0.5)</f>
        <v>0</v>
      </c>
      <c r="G155" s="35">
        <f>F155*54</f>
        <v>0</v>
      </c>
      <c r="J155" s="35"/>
      <c r="K155" s="35" t="s">
        <v>31</v>
      </c>
      <c r="L155" s="35">
        <f>SUM(AF125,AF19,AF40)</f>
        <v>-1</v>
      </c>
      <c r="M155" s="35">
        <f>L155/54</f>
        <v>-1.8518518518518517E-2</v>
      </c>
      <c r="N155" s="35" t="e">
        <f>MROUND(L155/54,0.5)</f>
        <v>#NUM!</v>
      </c>
      <c r="O155" s="35" t="e">
        <f>N155*54</f>
        <v>#NUM!</v>
      </c>
    </row>
    <row r="157" spans="2:33" x14ac:dyDescent="0.3">
      <c r="B157" s="39" t="s">
        <v>40</v>
      </c>
      <c r="C157" s="38" t="s">
        <v>41</v>
      </c>
      <c r="D157" s="38"/>
      <c r="E157" s="38"/>
      <c r="F157" s="36" t="s">
        <v>35</v>
      </c>
      <c r="G157" s="35" t="s">
        <v>34</v>
      </c>
      <c r="J157" s="39" t="s">
        <v>38</v>
      </c>
      <c r="K157" s="38" t="s">
        <v>7</v>
      </c>
      <c r="L157" s="38"/>
      <c r="M157" s="38"/>
      <c r="N157" s="36" t="s">
        <v>35</v>
      </c>
      <c r="O157" s="35" t="s">
        <v>34</v>
      </c>
    </row>
    <row r="158" spans="2:33" x14ac:dyDescent="0.3">
      <c r="B158" s="35"/>
      <c r="C158" s="35" t="s">
        <v>33</v>
      </c>
      <c r="D158" s="35">
        <f>SUM(AF59,AF80,AF101)</f>
        <v>3</v>
      </c>
      <c r="E158" s="35">
        <f>D158/54</f>
        <v>5.5555555555555552E-2</v>
      </c>
      <c r="F158" s="35">
        <f>MROUND(D158/54,0.5)</f>
        <v>0</v>
      </c>
      <c r="G158" s="35">
        <f>F158*54</f>
        <v>0</v>
      </c>
      <c r="J158" s="35"/>
      <c r="K158" s="35" t="s">
        <v>33</v>
      </c>
      <c r="L158" s="35">
        <f>SUM(AN123,AN17,AN38)</f>
        <v>178</v>
      </c>
      <c r="M158" s="35">
        <f>L158/54</f>
        <v>3.2962962962962963</v>
      </c>
      <c r="N158" s="35">
        <f>MROUND(L158/54,0.5)</f>
        <v>3.5</v>
      </c>
      <c r="O158" s="35">
        <f>N158*54</f>
        <v>189</v>
      </c>
    </row>
    <row r="159" spans="2:33" x14ac:dyDescent="0.3">
      <c r="B159" s="35"/>
      <c r="C159" s="35" t="s">
        <v>32</v>
      </c>
      <c r="D159" s="35">
        <f>SUM(AF60,AF81,AF102)</f>
        <v>0.75</v>
      </c>
      <c r="E159" s="35">
        <f>D159/54</f>
        <v>1.3888888888888888E-2</v>
      </c>
      <c r="F159" s="35">
        <f>MROUND(D159/54,0.5)</f>
        <v>0</v>
      </c>
      <c r="G159" s="35">
        <f>F159*54</f>
        <v>0</v>
      </c>
      <c r="J159" s="35"/>
      <c r="K159" s="35" t="s">
        <v>32</v>
      </c>
      <c r="L159" s="35">
        <f>SUM(AN124,AN18,AN39)</f>
        <v>125.5</v>
      </c>
      <c r="M159" s="35">
        <f>L159/54</f>
        <v>2.324074074074074</v>
      </c>
      <c r="N159" s="35">
        <f>MROUND(L159/54,0.5)</f>
        <v>2.5</v>
      </c>
      <c r="O159" s="35">
        <f>N159*54</f>
        <v>135</v>
      </c>
    </row>
    <row r="160" spans="2:33" x14ac:dyDescent="0.3">
      <c r="B160" s="35"/>
      <c r="C160" s="35" t="s">
        <v>31</v>
      </c>
      <c r="D160" s="35">
        <f>SUM(AF61,AF82,AF103)</f>
        <v>0</v>
      </c>
      <c r="E160" s="35">
        <f>D160/54</f>
        <v>0</v>
      </c>
      <c r="F160" s="35">
        <f>MROUND(D160/54,0.5)</f>
        <v>0</v>
      </c>
      <c r="G160" s="35">
        <f>F160*54</f>
        <v>0</v>
      </c>
      <c r="J160" s="35"/>
      <c r="K160" s="35" t="s">
        <v>31</v>
      </c>
      <c r="L160" s="35">
        <f>SUM(AN125,AN19,AN40)</f>
        <v>100</v>
      </c>
      <c r="M160" s="35">
        <f>L160/54</f>
        <v>1.8518518518518519</v>
      </c>
      <c r="N160" s="35">
        <f>MROUND(L160/54,0.5)</f>
        <v>2</v>
      </c>
      <c r="O160" s="35">
        <f>N160*54</f>
        <v>108</v>
      </c>
    </row>
    <row r="162" spans="2:15" x14ac:dyDescent="0.3">
      <c r="B162" s="39" t="s">
        <v>40</v>
      </c>
      <c r="C162" s="38" t="s">
        <v>39</v>
      </c>
      <c r="D162" s="38"/>
      <c r="E162" s="38"/>
      <c r="F162" s="36" t="s">
        <v>35</v>
      </c>
      <c r="G162" s="35" t="s">
        <v>34</v>
      </c>
      <c r="J162" s="39" t="s">
        <v>38</v>
      </c>
      <c r="K162" s="38" t="s">
        <v>7</v>
      </c>
      <c r="L162" s="38"/>
      <c r="M162" s="38"/>
      <c r="N162" s="36" t="s">
        <v>35</v>
      </c>
      <c r="O162" s="35" t="s">
        <v>34</v>
      </c>
    </row>
    <row r="163" spans="2:15" x14ac:dyDescent="0.3">
      <c r="B163" s="35"/>
      <c r="C163" s="35" t="s">
        <v>33</v>
      </c>
      <c r="D163" s="35">
        <f>SUM(AV59,AV80,AV101)</f>
        <v>106</v>
      </c>
      <c r="E163" s="35">
        <f>D163/54</f>
        <v>1.962962962962963</v>
      </c>
      <c r="F163" s="35">
        <f>MROUND(D163/54,0.5)</f>
        <v>2</v>
      </c>
      <c r="G163" s="35">
        <f>F163*54</f>
        <v>108</v>
      </c>
      <c r="J163" s="35"/>
      <c r="K163" s="35" t="s">
        <v>33</v>
      </c>
      <c r="L163" s="35">
        <f>SUM(AV123,AV17,AV38)</f>
        <v>107</v>
      </c>
      <c r="M163" s="35">
        <f>L163/54</f>
        <v>1.9814814814814814</v>
      </c>
      <c r="N163" s="35">
        <f>MROUND(L163/54,0.5)</f>
        <v>2</v>
      </c>
      <c r="O163" s="35">
        <f>N163*54</f>
        <v>108</v>
      </c>
    </row>
    <row r="164" spans="2:15" x14ac:dyDescent="0.3">
      <c r="B164" s="35"/>
      <c r="C164" s="35" t="s">
        <v>32</v>
      </c>
      <c r="D164" s="35">
        <f>SUM(AV60,AV81,AV102)</f>
        <v>83.5</v>
      </c>
      <c r="E164" s="35">
        <f>D164/54</f>
        <v>1.5462962962962963</v>
      </c>
      <c r="F164" s="35">
        <f>MROUND(D164/54,0.5)</f>
        <v>1.5</v>
      </c>
      <c r="G164" s="35">
        <f>F164*54</f>
        <v>81</v>
      </c>
      <c r="J164" s="35"/>
      <c r="K164" s="35" t="s">
        <v>32</v>
      </c>
      <c r="L164" s="35">
        <f>SUM(AV124,AV18,AV39)</f>
        <v>88.75</v>
      </c>
      <c r="M164" s="35">
        <f>L164/54</f>
        <v>1.6435185185185186</v>
      </c>
      <c r="N164" s="35">
        <f>MROUND(L164/54,0.5)</f>
        <v>1.5</v>
      </c>
      <c r="O164" s="35">
        <f>N164*54</f>
        <v>81</v>
      </c>
    </row>
    <row r="165" spans="2:15" x14ac:dyDescent="0.3">
      <c r="B165" s="35"/>
      <c r="C165" s="35" t="s">
        <v>31</v>
      </c>
      <c r="D165" s="35">
        <f>SUM(AV61,AV82,AV103)</f>
        <v>73</v>
      </c>
      <c r="E165" s="35">
        <f>D165/54</f>
        <v>1.3518518518518519</v>
      </c>
      <c r="F165" s="35">
        <f>MROUND(D165/54,0.5)</f>
        <v>1.5</v>
      </c>
      <c r="G165" s="35">
        <f>F165*54</f>
        <v>81</v>
      </c>
      <c r="J165" s="35"/>
      <c r="K165" s="35" t="s">
        <v>31</v>
      </c>
      <c r="L165" s="35">
        <f>SUM(AV125,AV19,AV40)</f>
        <v>80</v>
      </c>
      <c r="M165" s="35">
        <f>L165/54</f>
        <v>1.4814814814814814</v>
      </c>
      <c r="N165" s="35">
        <f>MROUND(L165/54,0.5)</f>
        <v>1.5</v>
      </c>
      <c r="O165" s="35">
        <f>N165*54</f>
        <v>81</v>
      </c>
    </row>
    <row r="167" spans="2:15" x14ac:dyDescent="0.3">
      <c r="B167" s="37" t="s">
        <v>37</v>
      </c>
      <c r="C167" s="37"/>
      <c r="D167" s="37"/>
      <c r="E167" s="37"/>
      <c r="F167" s="36" t="s">
        <v>35</v>
      </c>
      <c r="G167" s="35" t="s">
        <v>34</v>
      </c>
      <c r="J167" s="37" t="s">
        <v>36</v>
      </c>
      <c r="K167" s="37"/>
      <c r="L167" s="37"/>
      <c r="M167" s="37"/>
      <c r="N167" s="36" t="s">
        <v>35</v>
      </c>
      <c r="O167" s="35" t="s">
        <v>34</v>
      </c>
    </row>
    <row r="168" spans="2:15" x14ac:dyDescent="0.3">
      <c r="B168" s="35"/>
      <c r="C168" s="35" t="s">
        <v>33</v>
      </c>
      <c r="D168" s="35">
        <f>SUM(D138,D143,D148,D153,D158,D163)</f>
        <v>1043</v>
      </c>
      <c r="E168" s="35">
        <f>D168/54</f>
        <v>19.314814814814813</v>
      </c>
      <c r="F168" s="35">
        <f>MROUND(D168/54,0.5)</f>
        <v>19.5</v>
      </c>
      <c r="G168" s="35">
        <f>F168*54</f>
        <v>1053</v>
      </c>
      <c r="J168" s="35"/>
      <c r="K168" s="35" t="s">
        <v>33</v>
      </c>
      <c r="L168" s="35">
        <f>SUM(L138,L143,L148,L153,L158,L163)</f>
        <v>1458</v>
      </c>
      <c r="M168" s="35">
        <f>L168/54</f>
        <v>27</v>
      </c>
      <c r="N168" s="35">
        <f>ROUND(L168/54,0)</f>
        <v>27</v>
      </c>
      <c r="O168" s="35">
        <f>N168*54</f>
        <v>1458</v>
      </c>
    </row>
    <row r="169" spans="2:15" x14ac:dyDescent="0.3">
      <c r="B169" s="35"/>
      <c r="C169" s="35" t="s">
        <v>32</v>
      </c>
      <c r="D169" s="35">
        <f>SUM(D139,D144,D149,D154,D159,D164)</f>
        <v>872</v>
      </c>
      <c r="E169" s="35">
        <f>D169/54</f>
        <v>16.148148148148149</v>
      </c>
      <c r="F169" s="35">
        <f>MROUND(D169/54,0.5)</f>
        <v>16</v>
      </c>
      <c r="G169" s="35">
        <f>F169*54</f>
        <v>864</v>
      </c>
      <c r="J169" s="35"/>
      <c r="K169" s="35" t="s">
        <v>32</v>
      </c>
      <c r="L169" s="35">
        <f>SUM(L139,L144,L149,L154,L159,L164)</f>
        <v>1187.5</v>
      </c>
      <c r="M169" s="35">
        <f>L169/54</f>
        <v>21.99074074074074</v>
      </c>
      <c r="N169" s="35">
        <f>ROUND(L169/54,0)</f>
        <v>22</v>
      </c>
      <c r="O169" s="35">
        <f>N169*54</f>
        <v>1188</v>
      </c>
    </row>
    <row r="170" spans="2:15" x14ac:dyDescent="0.3">
      <c r="B170" s="35"/>
      <c r="C170" s="35" t="s">
        <v>31</v>
      </c>
      <c r="D170" s="35">
        <f>SUM(D140,D145,D150,D155,D160,D165)</f>
        <v>788</v>
      </c>
      <c r="E170" s="35">
        <f>D170/54</f>
        <v>14.592592592592593</v>
      </c>
      <c r="F170" s="35">
        <f>MROUND(D170/54,0.5)</f>
        <v>14.5</v>
      </c>
      <c r="G170" s="35">
        <f>F170*54</f>
        <v>783</v>
      </c>
      <c r="J170" s="35"/>
      <c r="K170" s="35" t="s">
        <v>31</v>
      </c>
      <c r="L170" s="35">
        <f>SUM(L140,L145,L150,L155,L160,L165)</f>
        <v>1053</v>
      </c>
      <c r="M170" s="35">
        <f>L170/54</f>
        <v>19.5</v>
      </c>
      <c r="N170" s="35">
        <f>ROUND(L170/54,0)</f>
        <v>20</v>
      </c>
      <c r="O170" s="35">
        <f>N170*54</f>
        <v>1080</v>
      </c>
    </row>
  </sheetData>
  <mergeCells count="34">
    <mergeCell ref="A1:A15"/>
    <mergeCell ref="AX1:AX15"/>
    <mergeCell ref="A22:A36"/>
    <mergeCell ref="AX22:AX36"/>
    <mergeCell ref="A43:A57"/>
    <mergeCell ref="AX43:AX57"/>
    <mergeCell ref="J132:K132"/>
    <mergeCell ref="L132:M132"/>
    <mergeCell ref="A64:A78"/>
    <mergeCell ref="AX64:AX78"/>
    <mergeCell ref="A85:A99"/>
    <mergeCell ref="AX85:AX99"/>
    <mergeCell ref="A107:A121"/>
    <mergeCell ref="AX107:AX121"/>
    <mergeCell ref="R132:T132"/>
    <mergeCell ref="Z132:AG132"/>
    <mergeCell ref="C137:E137"/>
    <mergeCell ref="K137:M137"/>
    <mergeCell ref="C142:E142"/>
    <mergeCell ref="K142:M142"/>
    <mergeCell ref="B132:C132"/>
    <mergeCell ref="D132:E132"/>
    <mergeCell ref="F132:G132"/>
    <mergeCell ref="H132:I132"/>
    <mergeCell ref="C162:E162"/>
    <mergeCell ref="K162:M162"/>
    <mergeCell ref="B167:E167"/>
    <mergeCell ref="J167:M167"/>
    <mergeCell ref="C147:E147"/>
    <mergeCell ref="K147:M147"/>
    <mergeCell ref="C152:E152"/>
    <mergeCell ref="K152:M152"/>
    <mergeCell ref="C157:E157"/>
    <mergeCell ref="K157:M15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6 Week</vt:lpstr>
      <vt:lpstr>Trifecta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Naoroji</dc:creator>
  <cp:lastModifiedBy>David Naoroji</cp:lastModifiedBy>
  <dcterms:created xsi:type="dcterms:W3CDTF">2025-10-23T19:43:22Z</dcterms:created>
  <dcterms:modified xsi:type="dcterms:W3CDTF">2025-10-23T19:44:40Z</dcterms:modified>
</cp:coreProperties>
</file>